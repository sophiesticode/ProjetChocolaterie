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ophieminos/Library/Mobile Documents/com~apple~CloudDocs/IUT/SCIF/ARendreProjet/"/>
    </mc:Choice>
  </mc:AlternateContent>
  <xr:revisionPtr revIDLastSave="0" documentId="13_ncr:1_{3B1CAE26-B976-1445-BA1A-13D70DE5033C}" xr6:coauthVersionLast="47" xr6:coauthVersionMax="47" xr10:uidLastSave="{00000000-0000-0000-0000-000000000000}"/>
  <bookViews>
    <workbookView xWindow="0" yWindow="500" windowWidth="28800" windowHeight="15640" activeTab="6" xr2:uid="{00000000-000D-0000-FFFF-FFFF00000000}"/>
  </bookViews>
  <sheets>
    <sheet name="Donnees a saisir" sheetId="1" r:id="rId1"/>
    <sheet name="Tableau de repartition" sheetId="2" r:id="rId2"/>
    <sheet name="Couts d'achat et stocks MP" sheetId="3" r:id="rId3"/>
    <sheet name="Couts de prod PI" sheetId="4" r:id="rId4"/>
    <sheet name="Couts de prod et stocks PF" sheetId="5" r:id="rId5"/>
    <sheet name="Couts de revient PV" sheetId="6" r:id="rId6"/>
    <sheet name="Resultats analytiques" sheetId="8" r:id="rId7"/>
  </sheets>
  <calcPr calcId="191028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3" l="1"/>
  <c r="C2" i="8"/>
  <c r="E13" i="8"/>
  <c r="D13" i="8"/>
  <c r="C15" i="8"/>
  <c r="C14" i="8"/>
  <c r="C13" i="8"/>
  <c r="C9" i="8"/>
  <c r="C8" i="8"/>
  <c r="E7" i="8"/>
  <c r="D7" i="8"/>
  <c r="C7" i="8"/>
  <c r="C17" i="6"/>
  <c r="C15" i="6"/>
  <c r="C14" i="6"/>
  <c r="C9" i="6"/>
  <c r="C6" i="6"/>
  <c r="C7" i="6"/>
  <c r="G38" i="4"/>
  <c r="C29" i="5" s="1"/>
  <c r="C2" i="6"/>
  <c r="G45" i="5"/>
  <c r="G46" i="5"/>
  <c r="G44" i="5"/>
  <c r="C46" i="5"/>
  <c r="C45" i="5"/>
  <c r="D44" i="5"/>
  <c r="E44" i="5"/>
  <c r="C44" i="5"/>
  <c r="C29" i="4"/>
  <c r="C19" i="4"/>
  <c r="D19" i="5"/>
  <c r="E19" i="5"/>
  <c r="C19" i="5"/>
  <c r="G19" i="5"/>
  <c r="C21" i="5"/>
  <c r="G21" i="5" s="1"/>
  <c r="G20" i="5" s="1"/>
  <c r="C20" i="5"/>
  <c r="C39" i="5"/>
  <c r="E34" i="5"/>
  <c r="C38" i="5"/>
  <c r="C37" i="5"/>
  <c r="C30" i="5"/>
  <c r="C36" i="5"/>
  <c r="D34" i="5"/>
  <c r="C34" i="5"/>
  <c r="E31" i="5"/>
  <c r="E30" i="5"/>
  <c r="D31" i="5"/>
  <c r="E33" i="5"/>
  <c r="E32" i="5"/>
  <c r="C31" i="5"/>
  <c r="D30" i="5"/>
  <c r="C28" i="5"/>
  <c r="C27" i="5"/>
  <c r="C5" i="5"/>
  <c r="C13" i="5"/>
  <c r="E9" i="5"/>
  <c r="E6" i="5"/>
  <c r="C12" i="5"/>
  <c r="C11" i="5"/>
  <c r="D9" i="5"/>
  <c r="C9" i="5"/>
  <c r="E8" i="5"/>
  <c r="E7" i="5"/>
  <c r="D6" i="5"/>
  <c r="C6" i="5"/>
  <c r="C1" i="5"/>
  <c r="G39" i="4"/>
  <c r="G40" i="4"/>
  <c r="C40" i="4"/>
  <c r="C39" i="4"/>
  <c r="C14" i="4"/>
  <c r="C23" i="4"/>
  <c r="C33" i="4"/>
  <c r="D38" i="4"/>
  <c r="E38" i="4"/>
  <c r="C38" i="4"/>
  <c r="D30" i="4"/>
  <c r="C30" i="4"/>
  <c r="E30" i="4"/>
  <c r="E20" i="4"/>
  <c r="D20" i="4"/>
  <c r="C20" i="4"/>
  <c r="C32" i="4"/>
  <c r="C22" i="4"/>
  <c r="C13" i="4"/>
  <c r="C12" i="4"/>
  <c r="C11" i="4"/>
  <c r="E8" i="4"/>
  <c r="E9" i="4"/>
  <c r="D8" i="4"/>
  <c r="D9" i="4"/>
  <c r="D7" i="4"/>
  <c r="C8" i="4"/>
  <c r="C9" i="4"/>
  <c r="C7" i="4"/>
  <c r="E7" i="4" s="1"/>
  <c r="C6" i="4"/>
  <c r="G33" i="3"/>
  <c r="G34" i="3"/>
  <c r="G32" i="3"/>
  <c r="G26" i="3"/>
  <c r="G27" i="3"/>
  <c r="G25" i="3"/>
  <c r="C34" i="3"/>
  <c r="C33" i="3"/>
  <c r="E32" i="3"/>
  <c r="C27" i="3"/>
  <c r="C26" i="3"/>
  <c r="E25" i="3"/>
  <c r="D32" i="3"/>
  <c r="D25" i="3"/>
  <c r="C32" i="3"/>
  <c r="C25" i="3"/>
  <c r="C20" i="3"/>
  <c r="C11" i="3"/>
  <c r="C1" i="4"/>
  <c r="F12" i="2"/>
  <c r="C18" i="3"/>
  <c r="C16" i="3"/>
  <c r="C9" i="3"/>
  <c r="N12" i="2"/>
  <c r="M12" i="2"/>
  <c r="I12" i="2"/>
  <c r="L12" i="2"/>
  <c r="K12" i="2"/>
  <c r="J12" i="2"/>
  <c r="H12" i="2"/>
  <c r="H11" i="2"/>
  <c r="I11" i="2"/>
  <c r="G12" i="2"/>
  <c r="I39" i="1"/>
  <c r="C42" i="1"/>
  <c r="I46" i="1"/>
  <c r="J46" i="1"/>
  <c r="E12" i="2"/>
  <c r="E16" i="3"/>
  <c r="E7" i="3"/>
  <c r="D16" i="3"/>
  <c r="D7" i="3"/>
  <c r="C2" i="3"/>
  <c r="C2" i="2"/>
  <c r="L11" i="2"/>
  <c r="M11" i="2"/>
  <c r="N11" i="2"/>
  <c r="O11" i="2"/>
  <c r="F11" i="2"/>
  <c r="G11" i="2"/>
  <c r="J11" i="2"/>
  <c r="K11" i="2"/>
  <c r="E11" i="2"/>
  <c r="C7" i="2"/>
  <c r="E73" i="1"/>
  <c r="E70" i="1"/>
  <c r="D42" i="1"/>
  <c r="I42" i="1"/>
  <c r="J42" i="1"/>
  <c r="D25" i="1"/>
  <c r="D22" i="1"/>
  <c r="E19" i="1"/>
  <c r="E30" i="1"/>
  <c r="D7" i="2"/>
  <c r="E7" i="2"/>
  <c r="F7" i="2"/>
  <c r="G7" i="2"/>
  <c r="H7" i="2"/>
  <c r="I7" i="2"/>
  <c r="J7" i="2"/>
  <c r="K7" i="2"/>
  <c r="L7" i="2"/>
  <c r="M7" i="2"/>
  <c r="N7" i="2"/>
  <c r="O7" i="2"/>
  <c r="I43" i="1"/>
  <c r="D9" i="3"/>
  <c r="E9" i="3"/>
  <c r="D11" i="3"/>
  <c r="E11" i="3"/>
  <c r="D18" i="3"/>
  <c r="E18" i="3"/>
  <c r="D20" i="3"/>
  <c r="E20" i="3"/>
  <c r="H25" i="3"/>
  <c r="I25" i="3"/>
  <c r="D26" i="3"/>
  <c r="E26" i="3"/>
  <c r="H26" i="3"/>
  <c r="I26" i="3"/>
  <c r="D27" i="3"/>
  <c r="E27" i="3"/>
  <c r="H27" i="3"/>
  <c r="I27" i="3"/>
  <c r="H32" i="3"/>
  <c r="I32" i="3"/>
  <c r="D33" i="3"/>
  <c r="E33" i="3"/>
  <c r="H33" i="3"/>
  <c r="I33" i="3"/>
  <c r="D34" i="3"/>
  <c r="E34" i="3"/>
  <c r="H34" i="3"/>
  <c r="I34" i="3"/>
  <c r="D5" i="5"/>
  <c r="E5" i="5"/>
  <c r="D11" i="5"/>
  <c r="E11" i="5"/>
  <c r="D12" i="5"/>
  <c r="E12" i="5"/>
  <c r="D13" i="5"/>
  <c r="E13" i="5"/>
  <c r="H19" i="5"/>
  <c r="I19" i="5"/>
  <c r="D20" i="5"/>
  <c r="E20" i="5"/>
  <c r="H20" i="5"/>
  <c r="I20" i="5"/>
  <c r="D21" i="5"/>
  <c r="E21" i="5"/>
  <c r="H21" i="5"/>
  <c r="I21" i="5"/>
  <c r="D27" i="5"/>
  <c r="E27" i="5"/>
  <c r="D28" i="5"/>
  <c r="E28" i="5"/>
  <c r="D29" i="5"/>
  <c r="E29" i="5"/>
  <c r="D36" i="5"/>
  <c r="E36" i="5"/>
  <c r="D37" i="5"/>
  <c r="E37" i="5"/>
  <c r="D38" i="5"/>
  <c r="E38" i="5"/>
  <c r="D39" i="5"/>
  <c r="E39" i="5"/>
  <c r="H44" i="5"/>
  <c r="I44" i="5"/>
  <c r="D45" i="5"/>
  <c r="E45" i="5"/>
  <c r="H45" i="5"/>
  <c r="I45" i="5"/>
  <c r="D46" i="5"/>
  <c r="E46" i="5"/>
  <c r="H46" i="5"/>
  <c r="I46" i="5"/>
  <c r="F48" i="5"/>
  <c r="D6" i="4"/>
  <c r="E6" i="4"/>
  <c r="D11" i="4"/>
  <c r="E11" i="4"/>
  <c r="D12" i="4"/>
  <c r="E12" i="4"/>
  <c r="D13" i="4"/>
  <c r="E13" i="4"/>
  <c r="D14" i="4"/>
  <c r="E14" i="4"/>
  <c r="D19" i="4"/>
  <c r="E19" i="4"/>
  <c r="D22" i="4"/>
  <c r="E22" i="4"/>
  <c r="D23" i="4"/>
  <c r="E23" i="4"/>
  <c r="D29" i="4"/>
  <c r="E29" i="4"/>
  <c r="D32" i="4"/>
  <c r="E32" i="4"/>
  <c r="D33" i="4"/>
  <c r="E33" i="4"/>
  <c r="H38" i="4"/>
  <c r="I38" i="4"/>
  <c r="D39" i="4"/>
  <c r="E39" i="4"/>
  <c r="H39" i="4"/>
  <c r="I39" i="4"/>
  <c r="D40" i="4"/>
  <c r="E40" i="4"/>
  <c r="H40" i="4"/>
  <c r="I40" i="4"/>
  <c r="D6" i="6"/>
  <c r="E6" i="6"/>
  <c r="D7" i="6"/>
  <c r="E7" i="6"/>
  <c r="C8" i="6"/>
  <c r="D8" i="6"/>
  <c r="E8" i="6"/>
  <c r="D9" i="6"/>
  <c r="E9" i="6"/>
  <c r="D14" i="6"/>
  <c r="E14" i="6"/>
  <c r="D15" i="6"/>
  <c r="E15" i="6"/>
  <c r="C16" i="6"/>
  <c r="D16" i="6"/>
  <c r="E16" i="6"/>
  <c r="D17" i="6"/>
  <c r="E17" i="6"/>
  <c r="D8" i="8"/>
  <c r="E8" i="8"/>
  <c r="D9" i="8"/>
  <c r="E9" i="8"/>
  <c r="D14" i="8"/>
  <c r="E14" i="8"/>
  <c r="D15" i="8"/>
  <c r="E15" i="8"/>
  <c r="C8" i="2"/>
  <c r="D8" i="2"/>
  <c r="E8" i="2"/>
  <c r="F8" i="2"/>
  <c r="G8" i="2"/>
  <c r="H8" i="2"/>
  <c r="I8" i="2"/>
  <c r="J8" i="2"/>
  <c r="K8" i="2"/>
  <c r="L8" i="2"/>
  <c r="M8" i="2"/>
  <c r="N8" i="2"/>
  <c r="O8" i="2"/>
  <c r="C9" i="2"/>
  <c r="D9" i="2"/>
  <c r="E9" i="2"/>
  <c r="F9" i="2"/>
  <c r="G9" i="2"/>
  <c r="H9" i="2"/>
  <c r="I9" i="2"/>
  <c r="J9" i="2"/>
  <c r="K9" i="2"/>
  <c r="L9" i="2"/>
  <c r="M9" i="2"/>
  <c r="N9" i="2"/>
  <c r="O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O12" i="2"/>
  <c r="E13" i="2"/>
  <c r="F13" i="2"/>
  <c r="G13" i="2"/>
  <c r="H13" i="2"/>
  <c r="I13" i="2"/>
  <c r="J13" i="2"/>
  <c r="K13" i="2"/>
  <c r="L13" i="2"/>
  <c r="M13" i="2"/>
  <c r="N13" i="2"/>
  <c r="O13" i="2"/>
</calcChain>
</file>

<file path=xl/sharedStrings.xml><?xml version="1.0" encoding="utf-8"?>
<sst xmlns="http://schemas.openxmlformats.org/spreadsheetml/2006/main" count="352" uniqueCount="166">
  <si>
    <t>mois de</t>
  </si>
  <si>
    <t>totaux répartition primaire</t>
  </si>
  <si>
    <t>entretien</t>
  </si>
  <si>
    <t>transport</t>
  </si>
  <si>
    <t>appro</t>
  </si>
  <si>
    <t>concassage</t>
  </si>
  <si>
    <t>torréfaction</t>
  </si>
  <si>
    <t>broyage</t>
  </si>
  <si>
    <t>pressage</t>
  </si>
  <si>
    <t>blutage</t>
  </si>
  <si>
    <t>conchage</t>
  </si>
  <si>
    <t>tempérage / moulage</t>
  </si>
  <si>
    <t>conditiont</t>
  </si>
  <si>
    <t>distrib</t>
  </si>
  <si>
    <t>ateliers</t>
  </si>
  <si>
    <t>centres principaux</t>
  </si>
  <si>
    <t>centres auxiliaires</t>
  </si>
  <si>
    <t>kg de fèves et de sucre acheté</t>
  </si>
  <si>
    <t>kg de fèves concassées</t>
  </si>
  <si>
    <t>kg de grains torréfiés</t>
  </si>
  <si>
    <t>heure machine</t>
  </si>
  <si>
    <t>heure de MO</t>
  </si>
  <si>
    <t>fèves</t>
  </si>
  <si>
    <t>kg</t>
  </si>
  <si>
    <t>prix au kg</t>
  </si>
  <si>
    <t>sucre</t>
  </si>
  <si>
    <t>achats du mois</t>
  </si>
  <si>
    <t>consommations pour la production</t>
  </si>
  <si>
    <t>quantités produites</t>
  </si>
  <si>
    <t>pâte de cacao</t>
  </si>
  <si>
    <t>pour chocolat</t>
  </si>
  <si>
    <t>pour poudre de cacao et beurre de cacao</t>
  </si>
  <si>
    <t>en kg</t>
  </si>
  <si>
    <t>en paquets de 250g</t>
  </si>
  <si>
    <t>poudre de cacao</t>
  </si>
  <si>
    <t>beurre de cacao</t>
  </si>
  <si>
    <t>chocolat</t>
  </si>
  <si>
    <t>papier</t>
  </si>
  <si>
    <t>feuilles aluminium</t>
  </si>
  <si>
    <t>carton</t>
  </si>
  <si>
    <t>pour paquets de  cacao en poudre</t>
  </si>
  <si>
    <t>pour tablettes de chocolat</t>
  </si>
  <si>
    <t>stocks en début de mois</t>
  </si>
  <si>
    <t>montant</t>
  </si>
  <si>
    <t>ventes du mois</t>
  </si>
  <si>
    <t>nb de paquets</t>
  </si>
  <si>
    <t>prix de vente au kg</t>
  </si>
  <si>
    <t>prix de vente paquet (250g)</t>
  </si>
  <si>
    <t>cacao en poudre</t>
  </si>
  <si>
    <t>chocolat noir</t>
  </si>
  <si>
    <t>main d'œuvre directe</t>
  </si>
  <si>
    <t>heures MOD</t>
  </si>
  <si>
    <t>taux horaire</t>
  </si>
  <si>
    <t>atelier concassage</t>
  </si>
  <si>
    <t>atelier broyage</t>
  </si>
  <si>
    <t>atelier torréfaction</t>
  </si>
  <si>
    <t>atelier pressage</t>
  </si>
  <si>
    <t>atelier blutage</t>
  </si>
  <si>
    <t>atelier conchage</t>
  </si>
  <si>
    <t>atelier moulage</t>
  </si>
  <si>
    <t>atelier conditionnement</t>
  </si>
  <si>
    <t>heures MOD pressage</t>
  </si>
  <si>
    <t>tourteaux</t>
  </si>
  <si>
    <t>heures MOD conditionnement</t>
  </si>
  <si>
    <t>poudre cacao</t>
  </si>
  <si>
    <t>heures machine</t>
  </si>
  <si>
    <t>heures mach</t>
  </si>
  <si>
    <t>Q ou nb d'UO</t>
  </si>
  <si>
    <t>montants</t>
  </si>
  <si>
    <t>Totaux</t>
  </si>
  <si>
    <t>charges directes</t>
  </si>
  <si>
    <t>achats</t>
  </si>
  <si>
    <t>charges indirectes</t>
  </si>
  <si>
    <t>centre appro</t>
  </si>
  <si>
    <t>libellé</t>
  </si>
  <si>
    <t>stock initial</t>
  </si>
  <si>
    <t>Q</t>
  </si>
  <si>
    <t>Montant</t>
  </si>
  <si>
    <t>Entrées</t>
  </si>
  <si>
    <t>Sorties</t>
  </si>
  <si>
    <t>pour prod pâte de cacao</t>
  </si>
  <si>
    <t>pour prod chocolat</t>
  </si>
  <si>
    <t xml:space="preserve">pour prod </t>
  </si>
  <si>
    <t xml:space="preserve">coût de production </t>
  </si>
  <si>
    <t>ventes</t>
  </si>
  <si>
    <t>stock final</t>
  </si>
  <si>
    <t>coût de production du cacao en poudre</t>
  </si>
  <si>
    <t>coût de production du chocolat</t>
  </si>
  <si>
    <t xml:space="preserve">Mois de </t>
  </si>
  <si>
    <t>Résultat pour le cacao en poudre</t>
  </si>
  <si>
    <t>Chiffre d'affaires</t>
  </si>
  <si>
    <t>Coût de revient</t>
  </si>
  <si>
    <t>Résultat</t>
  </si>
  <si>
    <t>Résultat pour les plaquettes de chocolat</t>
  </si>
  <si>
    <t>stock de fèves</t>
  </si>
  <si>
    <t>stock de beurre de cacao</t>
  </si>
  <si>
    <t>fabrication</t>
  </si>
  <si>
    <t>stock de cacao en poudre</t>
  </si>
  <si>
    <t>cacao produit</t>
  </si>
  <si>
    <t>totaux répartition secondaire</t>
  </si>
  <si>
    <t>prix de vente plaquette (125g)</t>
  </si>
  <si>
    <t>coût de production  total des produits vendus :</t>
  </si>
  <si>
    <t>coût d'achat du sucre</t>
  </si>
  <si>
    <t>coût d'achat des fèves</t>
  </si>
  <si>
    <t>nb de tablettes et de paquets conditionnés</t>
  </si>
  <si>
    <t>nb de tablettes et de paquets vendus</t>
  </si>
  <si>
    <t>tablettes de chocolat</t>
  </si>
  <si>
    <t>en tablettes de 125g</t>
  </si>
  <si>
    <t>nb de tablettes</t>
  </si>
  <si>
    <t xml:space="preserve">Nb d'UO </t>
  </si>
  <si>
    <t xml:space="preserve">coût de l'UO </t>
  </si>
  <si>
    <t xml:space="preserve">UO </t>
  </si>
  <si>
    <t>1€ de coût de production des produits vendus</t>
  </si>
  <si>
    <t>stock de  tablettes de chocolat</t>
  </si>
  <si>
    <r>
      <t>coût de production de la</t>
    </r>
    <r>
      <rPr>
        <b/>
        <sz val="8"/>
        <color rgb="FFFF0000"/>
        <rFont val="Calibri"/>
        <family val="2"/>
      </rPr>
      <t xml:space="preserve"> pâte de cacao</t>
    </r>
  </si>
  <si>
    <r>
      <t>coût de production des</t>
    </r>
    <r>
      <rPr>
        <b/>
        <sz val="8"/>
        <color rgb="FFFF0000"/>
        <rFont val="Calibri"/>
        <family val="2"/>
      </rPr>
      <t xml:space="preserve"> tourteaux</t>
    </r>
  </si>
  <si>
    <r>
      <t>coût de production du</t>
    </r>
    <r>
      <rPr>
        <b/>
        <sz val="8"/>
        <color rgb="FFFF0000"/>
        <rFont val="Calibri"/>
        <family val="2"/>
      </rPr>
      <t xml:space="preserve"> beurre de cacao</t>
    </r>
  </si>
  <si>
    <t>CU</t>
  </si>
  <si>
    <t>CU  ou coût d'UO</t>
  </si>
  <si>
    <t>CU ou coût d'UO</t>
  </si>
  <si>
    <t>PU ou CU</t>
  </si>
  <si>
    <r>
      <t xml:space="preserve">coût de revient des tablettes de chocolat </t>
    </r>
    <r>
      <rPr>
        <b/>
        <i/>
        <sz val="8"/>
        <color rgb="FF000000"/>
        <rFont val="Calibri"/>
        <family val="2"/>
      </rPr>
      <t>vendues</t>
    </r>
  </si>
  <si>
    <r>
      <t xml:space="preserve">coût de revient du cacao en poudre </t>
    </r>
    <r>
      <rPr>
        <b/>
        <i/>
        <sz val="8"/>
        <color rgb="FF000000"/>
        <rFont val="Calibri"/>
        <family val="2"/>
      </rPr>
      <t>vendu</t>
    </r>
  </si>
  <si>
    <t xml:space="preserve">Coût de revient des produits vendus </t>
  </si>
  <si>
    <t>Résultats analytiques</t>
  </si>
  <si>
    <t xml:space="preserve">Coûts de production et stocks de produits finis </t>
  </si>
  <si>
    <t>Coût de production des produits intermédiaires et stock de beurre de cacao</t>
  </si>
  <si>
    <t>Coûts d'achat et stocks de matières premières (fèves et sucre)</t>
  </si>
  <si>
    <t>nb kg / sac</t>
  </si>
  <si>
    <t>nb de sacs</t>
  </si>
  <si>
    <r>
      <t xml:space="preserve">nb de </t>
    </r>
    <r>
      <rPr>
        <b/>
        <sz val="8"/>
        <color rgb="FF000000"/>
        <rFont val="Calibri"/>
        <family val="2"/>
      </rPr>
      <t>paquets</t>
    </r>
    <r>
      <rPr>
        <sz val="8"/>
        <color indexed="8"/>
        <rFont val="Calibri"/>
        <family val="2"/>
      </rPr>
      <t xml:space="preserve"> (250g)</t>
    </r>
  </si>
  <si>
    <r>
      <t xml:space="preserve">nb de </t>
    </r>
    <r>
      <rPr>
        <b/>
        <sz val="8"/>
        <color rgb="FF000000"/>
        <rFont val="Calibri"/>
        <family val="2"/>
      </rPr>
      <t>tablettes</t>
    </r>
    <r>
      <rPr>
        <sz val="8"/>
        <color indexed="8"/>
        <rFont val="Calibri"/>
        <family val="2"/>
      </rPr>
      <t xml:space="preserve"> (125g)</t>
    </r>
  </si>
  <si>
    <t>Mai</t>
  </si>
  <si>
    <t>÷ données calculées ÷</t>
  </si>
  <si>
    <t>🖋 données à saisir 🖋</t>
  </si>
  <si>
    <t xml:space="preserve">Unité d'oeuvre </t>
  </si>
  <si>
    <t>administration</t>
  </si>
  <si>
    <t>stock de sucre</t>
  </si>
  <si>
    <t>Salaires directs atelier concassage</t>
  </si>
  <si>
    <t>Salaires directs atelier torréfaction</t>
  </si>
  <si>
    <t>Salaires directs atelier broyage</t>
  </si>
  <si>
    <t>Charges indirectes atelier concassage</t>
  </si>
  <si>
    <t>Charges indirectes atelier torréfaction</t>
  </si>
  <si>
    <t>Charges indirectes atelier broyage</t>
  </si>
  <si>
    <t>Salaires directs atelier pressage</t>
  </si>
  <si>
    <t>Charges indirectes atelier pressage</t>
  </si>
  <si>
    <t>coût de production de la pâte de cacao</t>
  </si>
  <si>
    <t>Salaires directs atelier conditionnement</t>
  </si>
  <si>
    <t>Salaires directs atelier blutage</t>
  </si>
  <si>
    <t>Charges indirectes atelier blutage</t>
  </si>
  <si>
    <t>Salaires directs atelier conchage</t>
  </si>
  <si>
    <t>Charges indirectes atelier conchage</t>
  </si>
  <si>
    <t>Charges indirectes atelier conditionnement</t>
  </si>
  <si>
    <t>coût de production du beurre de cacao consommé</t>
  </si>
  <si>
    <t>coût d'acquisition du carton</t>
  </si>
  <si>
    <t>coût d'acquisition de l'aluminium</t>
  </si>
  <si>
    <t>coût d'acquisition du papier</t>
  </si>
  <si>
    <t>coût d'acquisition des fèves de cacao consommées</t>
  </si>
  <si>
    <t>coût d'acquisition du sucre consommé</t>
  </si>
  <si>
    <t>Salaires directs atelier tempérage / moulage</t>
  </si>
  <si>
    <t>Charges indirectes atelier tempérage / moulage</t>
  </si>
  <si>
    <t>coût de production des tourteaux</t>
  </si>
  <si>
    <t>coût de production</t>
  </si>
  <si>
    <t>charges indirectes de distribution</t>
  </si>
  <si>
    <t>charges indirectes d'administration</t>
  </si>
  <si>
    <r>
      <t xml:space="preserve">cf schéma du processus de production : la </t>
    </r>
    <r>
      <rPr>
        <sz val="11"/>
        <color rgb="FFFF0000"/>
        <rFont val="Calibri"/>
        <family val="2"/>
        <scheme val="minor"/>
      </rPr>
      <t>pâte de cacao</t>
    </r>
    <r>
      <rPr>
        <sz val="11"/>
        <color theme="1"/>
        <rFont val="Calibri"/>
        <family val="2"/>
        <scheme val="minor"/>
      </rPr>
      <t xml:space="preserve"> est partagée en deux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</si>
</sst>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\ &quot;€&quot;"/>
    <numFmt numFmtId="165" formatCode="General\ &quot;kg&quot;"/>
    <numFmt numFmtId="166" formatCode="General&quot; tab&quot;"/>
    <numFmt numFmtId="167" formatCode="General&quot; paq&quot;"/>
    <numFmt numFmtId="168" formatCode="General\ &quot;hMOD&quot;"/>
    <numFmt numFmtId="169" formatCode="General\ &quot;hMach&quot;"/>
  </numFmts>
  <fonts count="25" x14ac:knownFonts="1">
    <font>
      <sz val="11"/>
      <color theme="1"/>
      <name val="Calibri"/>
      <family val="2"/>
      <scheme val="minor"/>
    </font>
    <font>
      <sz val="8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b/>
      <sz val="8"/>
      <color indexed="8"/>
      <name val="Calibri"/>
      <family val="2"/>
    </font>
    <font>
      <b/>
      <i/>
      <sz val="8"/>
      <color indexed="8"/>
      <name val="Calibri"/>
      <family val="2"/>
    </font>
    <font>
      <sz val="8"/>
      <name val="Calibri"/>
      <family val="2"/>
    </font>
    <font>
      <sz val="10"/>
      <color indexed="8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8"/>
      <color rgb="FFFF0000"/>
      <name val="Calibri"/>
      <family val="2"/>
    </font>
    <font>
      <b/>
      <i/>
      <sz val="8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8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8"/>
      <color theme="0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sz val="8"/>
      <color theme="1"/>
      <name val="Calibri"/>
      <family val="2"/>
    </font>
    <font>
      <sz val="8"/>
      <color rgb="FF000000"/>
      <name val="Calibri"/>
      <family val="2"/>
    </font>
    <font>
      <sz val="14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DEE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1FFB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8D8C"/>
        <bgColor indexed="64"/>
      </patternFill>
    </fill>
    <fill>
      <patternFill patternType="solid">
        <fgColor rgb="FFCB83FF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1" fillId="0" borderId="0" xfId="0" applyFont="1" applyAlignment="1">
      <alignment wrapText="1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0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1" fillId="0" borderId="5" xfId="0" applyFont="1" applyBorder="1" applyAlignment="1">
      <alignment wrapText="1"/>
    </xf>
    <xf numFmtId="0" fontId="1" fillId="0" borderId="6" xfId="0" applyFont="1" applyBorder="1" applyAlignment="1">
      <alignment wrapText="1"/>
    </xf>
    <xf numFmtId="0" fontId="1" fillId="0" borderId="7" xfId="0" applyFont="1" applyBorder="1" applyAlignment="1">
      <alignment wrapText="1"/>
    </xf>
    <xf numFmtId="0" fontId="1" fillId="0" borderId="8" xfId="0" applyFont="1" applyBorder="1" applyAlignment="1">
      <alignment wrapText="1"/>
    </xf>
    <xf numFmtId="0" fontId="1" fillId="0" borderId="9" xfId="0" applyFont="1" applyBorder="1" applyAlignment="1">
      <alignment wrapText="1"/>
    </xf>
    <xf numFmtId="0" fontId="1" fillId="0" borderId="10" xfId="0" applyFont="1" applyBorder="1" applyAlignment="1">
      <alignment wrapText="1"/>
    </xf>
    <xf numFmtId="0" fontId="1" fillId="0" borderId="11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1" fillId="0" borderId="1" xfId="0" applyFont="1" applyFill="1" applyBorder="1" applyAlignment="1">
      <alignment wrapText="1"/>
    </xf>
    <xf numFmtId="0" fontId="0" fillId="0" borderId="1" xfId="0" applyBorder="1"/>
    <xf numFmtId="0" fontId="3" fillId="0" borderId="1" xfId="0" applyFont="1" applyBorder="1" applyAlignment="1">
      <alignment wrapText="1"/>
    </xf>
    <xf numFmtId="0" fontId="3" fillId="0" borderId="0" xfId="0" applyFont="1" applyAlignment="1">
      <alignment wrapText="1"/>
    </xf>
    <xf numFmtId="0" fontId="4" fillId="0" borderId="1" xfId="0" applyFont="1" applyBorder="1" applyAlignment="1">
      <alignment wrapText="1"/>
    </xf>
    <xf numFmtId="0" fontId="5" fillId="0" borderId="1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" fillId="0" borderId="1" xfId="0" applyFont="1" applyBorder="1"/>
    <xf numFmtId="0" fontId="1" fillId="0" borderId="0" xfId="0" applyFont="1"/>
    <xf numFmtId="0" fontId="1" fillId="0" borderId="0" xfId="0" applyFont="1" applyBorder="1" applyAlignment="1">
      <alignment horizontal="center" vertical="center" wrapText="1"/>
    </xf>
    <xf numFmtId="0" fontId="7" fillId="0" borderId="0" xfId="0" applyFont="1"/>
    <xf numFmtId="0" fontId="4" fillId="0" borderId="0" xfId="0" applyFont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164" fontId="0" fillId="0" borderId="1" xfId="0" applyNumberFormat="1" applyBorder="1"/>
    <xf numFmtId="10" fontId="1" fillId="0" borderId="1" xfId="0" applyNumberFormat="1" applyFont="1" applyBorder="1" applyAlignment="1">
      <alignment wrapText="1"/>
    </xf>
    <xf numFmtId="10" fontId="1" fillId="0" borderId="2" xfId="0" applyNumberFormat="1" applyFont="1" applyBorder="1" applyAlignment="1">
      <alignment wrapText="1"/>
    </xf>
    <xf numFmtId="0" fontId="0" fillId="2" borderId="1" xfId="0" applyFill="1" applyBorder="1"/>
    <xf numFmtId="164" fontId="0" fillId="2" borderId="1" xfId="0" applyNumberFormat="1" applyFill="1" applyBorder="1"/>
    <xf numFmtId="0" fontId="9" fillId="0" borderId="0" xfId="0" applyFont="1"/>
    <xf numFmtId="0" fontId="11" fillId="0" borderId="0" xfId="0" applyFont="1" applyAlignment="1"/>
    <xf numFmtId="0" fontId="8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" fillId="0" borderId="24" xfId="0" applyFont="1" applyBorder="1" applyAlignment="1">
      <alignment wrapText="1"/>
    </xf>
    <xf numFmtId="0" fontId="1" fillId="0" borderId="33" xfId="0" applyFont="1" applyBorder="1" applyAlignment="1">
      <alignment wrapText="1"/>
    </xf>
    <xf numFmtId="2" fontId="1" fillId="6" borderId="2" xfId="0" applyNumberFormat="1" applyFont="1" applyFill="1" applyBorder="1" applyAlignment="1">
      <alignment wrapText="1"/>
    </xf>
    <xf numFmtId="2" fontId="1" fillId="6" borderId="10" xfId="0" applyNumberFormat="1" applyFont="1" applyFill="1" applyBorder="1" applyAlignment="1">
      <alignment wrapText="1"/>
    </xf>
    <xf numFmtId="2" fontId="1" fillId="7" borderId="1" xfId="0" applyNumberFormat="1" applyFont="1" applyFill="1" applyBorder="1" applyAlignment="1">
      <alignment wrapText="1"/>
    </xf>
    <xf numFmtId="2" fontId="1" fillId="7" borderId="5" xfId="0" applyNumberFormat="1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1" fillId="7" borderId="5" xfId="0" applyFont="1" applyFill="1" applyBorder="1" applyAlignment="1">
      <alignment wrapText="1"/>
    </xf>
    <xf numFmtId="0" fontId="1" fillId="7" borderId="1" xfId="0" applyFont="1" applyFill="1" applyBorder="1" applyAlignment="1">
      <alignment wrapText="1"/>
    </xf>
    <xf numFmtId="164" fontId="1" fillId="7" borderId="1" xfId="0" applyNumberFormat="1" applyFont="1" applyFill="1" applyBorder="1" applyAlignment="1">
      <alignment wrapText="1"/>
    </xf>
    <xf numFmtId="0" fontId="1" fillId="7" borderId="2" xfId="0" applyFont="1" applyFill="1" applyBorder="1" applyAlignment="1">
      <alignment wrapText="1"/>
    </xf>
    <xf numFmtId="0" fontId="1" fillId="9" borderId="1" xfId="0" applyFont="1" applyFill="1" applyBorder="1" applyAlignment="1">
      <alignment wrapText="1"/>
    </xf>
    <xf numFmtId="4" fontId="0" fillId="0" borderId="1" xfId="0" applyNumberFormat="1" applyBorder="1"/>
    <xf numFmtId="10" fontId="18" fillId="0" borderId="1" xfId="0" applyNumberFormat="1" applyFont="1" applyBorder="1" applyAlignment="1">
      <alignment wrapText="1"/>
    </xf>
    <xf numFmtId="0" fontId="21" fillId="11" borderId="8" xfId="0" applyFont="1" applyFill="1" applyBorder="1" applyAlignment="1">
      <alignment wrapText="1"/>
    </xf>
    <xf numFmtId="0" fontId="21" fillId="11" borderId="9" xfId="0" applyFont="1" applyFill="1" applyBorder="1" applyAlignment="1">
      <alignment wrapText="1"/>
    </xf>
    <xf numFmtId="0" fontId="1" fillId="12" borderId="8" xfId="0" applyFont="1" applyFill="1" applyBorder="1" applyAlignment="1">
      <alignment wrapText="1"/>
    </xf>
    <xf numFmtId="0" fontId="1" fillId="12" borderId="9" xfId="0" applyFont="1" applyFill="1" applyBorder="1" applyAlignment="1">
      <alignment wrapText="1"/>
    </xf>
    <xf numFmtId="2" fontId="3" fillId="2" borderId="19" xfId="0" applyNumberFormat="1" applyFont="1" applyFill="1" applyBorder="1" applyAlignment="1">
      <alignment horizontal="center" wrapText="1"/>
    </xf>
    <xf numFmtId="2" fontId="3" fillId="2" borderId="19" xfId="0" applyNumberFormat="1" applyFont="1" applyFill="1" applyBorder="1" applyAlignment="1">
      <alignment wrapText="1"/>
    </xf>
    <xf numFmtId="2" fontId="3" fillId="2" borderId="1" xfId="0" applyNumberFormat="1" applyFont="1" applyFill="1" applyBorder="1" applyAlignment="1">
      <alignment horizontal="center" wrapText="1"/>
    </xf>
    <xf numFmtId="2" fontId="3" fillId="2" borderId="1" xfId="0" applyNumberFormat="1" applyFont="1" applyFill="1" applyBorder="1" applyAlignment="1">
      <alignment wrapText="1"/>
    </xf>
    <xf numFmtId="0" fontId="1" fillId="2" borderId="10" xfId="0" applyFont="1" applyFill="1" applyBorder="1" applyAlignment="1">
      <alignment wrapText="1"/>
    </xf>
    <xf numFmtId="0" fontId="1" fillId="13" borderId="8" xfId="0" applyFont="1" applyFill="1" applyBorder="1" applyAlignment="1">
      <alignment wrapText="1"/>
    </xf>
    <xf numFmtId="0" fontId="1" fillId="13" borderId="9" xfId="0" applyFont="1" applyFill="1" applyBorder="1" applyAlignment="1">
      <alignment wrapText="1"/>
    </xf>
    <xf numFmtId="0" fontId="1" fillId="13" borderId="1" xfId="0" applyFont="1" applyFill="1" applyBorder="1" applyAlignment="1">
      <alignment wrapText="1"/>
    </xf>
    <xf numFmtId="0" fontId="1" fillId="15" borderId="8" xfId="0" applyFont="1" applyFill="1" applyBorder="1" applyAlignment="1">
      <alignment wrapText="1"/>
    </xf>
    <xf numFmtId="0" fontId="1" fillId="16" borderId="9" xfId="0" applyFont="1" applyFill="1" applyBorder="1" applyAlignment="1">
      <alignment wrapText="1"/>
    </xf>
    <xf numFmtId="0" fontId="6" fillId="16" borderId="9" xfId="0" applyFont="1" applyFill="1" applyBorder="1" applyAlignment="1">
      <alignment wrapText="1"/>
    </xf>
    <xf numFmtId="0" fontId="22" fillId="17" borderId="9" xfId="0" applyFont="1" applyFill="1" applyBorder="1" applyAlignment="1">
      <alignment wrapText="1"/>
    </xf>
    <xf numFmtId="0" fontId="1" fillId="17" borderId="9" xfId="0" applyFont="1" applyFill="1" applyBorder="1" applyAlignment="1">
      <alignment wrapText="1"/>
    </xf>
    <xf numFmtId="0" fontId="1" fillId="16" borderId="1" xfId="0" applyFont="1" applyFill="1" applyBorder="1" applyAlignment="1">
      <alignment wrapText="1"/>
    </xf>
    <xf numFmtId="0" fontId="1" fillId="15" borderId="1" xfId="0" applyFont="1" applyFill="1" applyBorder="1" applyAlignment="1">
      <alignment wrapText="1"/>
    </xf>
    <xf numFmtId="0" fontId="1" fillId="2" borderId="0" xfId="0" applyFont="1" applyFill="1" applyAlignment="1"/>
    <xf numFmtId="0" fontId="23" fillId="0" borderId="1" xfId="0" applyFont="1" applyBorder="1" applyAlignment="1">
      <alignment wrapText="1"/>
    </xf>
    <xf numFmtId="164" fontId="3" fillId="6" borderId="1" xfId="0" applyNumberFormat="1" applyFont="1" applyFill="1" applyBorder="1" applyAlignment="1">
      <alignment wrapText="1"/>
    </xf>
    <xf numFmtId="164" fontId="3" fillId="0" borderId="1" xfId="0" applyNumberFormat="1" applyFont="1" applyBorder="1" applyAlignment="1">
      <alignment wrapText="1"/>
    </xf>
    <xf numFmtId="164" fontId="3" fillId="0" borderId="1" xfId="0" applyNumberFormat="1" applyFont="1" applyBorder="1" applyAlignment="1">
      <alignment horizontal="right" wrapText="1"/>
    </xf>
    <xf numFmtId="164" fontId="3" fillId="0" borderId="20" xfId="0" applyNumberFormat="1" applyFont="1" applyBorder="1" applyAlignment="1">
      <alignment wrapText="1"/>
    </xf>
    <xf numFmtId="164" fontId="3" fillId="6" borderId="20" xfId="0" applyNumberFormat="1" applyFont="1" applyFill="1" applyBorder="1" applyAlignment="1">
      <alignment wrapText="1"/>
    </xf>
    <xf numFmtId="164" fontId="3" fillId="2" borderId="1" xfId="0" applyNumberFormat="1" applyFont="1" applyFill="1" applyBorder="1" applyAlignment="1">
      <alignment wrapText="1"/>
    </xf>
    <xf numFmtId="164" fontId="1" fillId="0" borderId="1" xfId="0" applyNumberFormat="1" applyFont="1" applyBorder="1" applyAlignment="1">
      <alignment wrapText="1"/>
    </xf>
    <xf numFmtId="164" fontId="1" fillId="6" borderId="1" xfId="0" applyNumberFormat="1" applyFont="1" applyFill="1" applyBorder="1" applyAlignment="1">
      <alignment wrapText="1"/>
    </xf>
    <xf numFmtId="164" fontId="3" fillId="0" borderId="1" xfId="0" applyNumberFormat="1" applyFont="1" applyFill="1" applyBorder="1" applyAlignment="1">
      <alignment wrapText="1"/>
    </xf>
    <xf numFmtId="164" fontId="1" fillId="6" borderId="21" xfId="0" applyNumberFormat="1" applyFont="1" applyFill="1" applyBorder="1"/>
    <xf numFmtId="164" fontId="3" fillId="0" borderId="19" xfId="0" applyNumberFormat="1" applyFont="1" applyBorder="1" applyAlignment="1">
      <alignment wrapText="1"/>
    </xf>
    <xf numFmtId="164" fontId="6" fillId="6" borderId="1" xfId="0" applyNumberFormat="1" applyFont="1" applyFill="1" applyBorder="1" applyAlignment="1">
      <alignment wrapText="1"/>
    </xf>
    <xf numFmtId="164" fontId="1" fillId="6" borderId="2" xfId="0" applyNumberFormat="1" applyFont="1" applyFill="1" applyBorder="1" applyAlignment="1">
      <alignment wrapText="1"/>
    </xf>
    <xf numFmtId="164" fontId="1" fillId="7" borderId="2" xfId="0" applyNumberFormat="1" applyFont="1" applyFill="1" applyBorder="1" applyAlignment="1">
      <alignment wrapText="1"/>
    </xf>
    <xf numFmtId="164" fontId="1" fillId="6" borderId="5" xfId="0" applyNumberFormat="1" applyFont="1" applyFill="1" applyBorder="1" applyAlignment="1">
      <alignment wrapText="1"/>
    </xf>
    <xf numFmtId="164" fontId="1" fillId="7" borderId="10" xfId="0" applyNumberFormat="1" applyFont="1" applyFill="1" applyBorder="1" applyAlignment="1">
      <alignment wrapText="1"/>
    </xf>
    <xf numFmtId="164" fontId="1" fillId="7" borderId="5" xfId="0" applyNumberFormat="1" applyFont="1" applyFill="1" applyBorder="1" applyAlignment="1">
      <alignment wrapText="1"/>
    </xf>
    <xf numFmtId="164" fontId="1" fillId="6" borderId="10" xfId="0" applyNumberFormat="1" applyFont="1" applyFill="1" applyBorder="1" applyAlignment="1">
      <alignment wrapText="1"/>
    </xf>
    <xf numFmtId="165" fontId="3" fillId="0" borderId="1" xfId="0" applyNumberFormat="1" applyFont="1" applyBorder="1" applyAlignment="1">
      <alignment wrapText="1"/>
    </xf>
    <xf numFmtId="165" fontId="3" fillId="6" borderId="1" xfId="0" applyNumberFormat="1" applyFont="1" applyFill="1" applyBorder="1" applyAlignment="1">
      <alignment wrapText="1"/>
    </xf>
    <xf numFmtId="165" fontId="1" fillId="6" borderId="10" xfId="0" applyNumberFormat="1" applyFont="1" applyFill="1" applyBorder="1" applyAlignment="1">
      <alignment wrapText="1"/>
    </xf>
    <xf numFmtId="165" fontId="1" fillId="6" borderId="1" xfId="0" applyNumberFormat="1" applyFont="1" applyFill="1" applyBorder="1" applyAlignment="1">
      <alignment wrapText="1"/>
    </xf>
    <xf numFmtId="165" fontId="1" fillId="6" borderId="5" xfId="0" applyNumberFormat="1" applyFont="1" applyFill="1" applyBorder="1" applyAlignment="1">
      <alignment wrapText="1"/>
    </xf>
    <xf numFmtId="165" fontId="1" fillId="7" borderId="10" xfId="0" applyNumberFormat="1" applyFont="1" applyFill="1" applyBorder="1" applyAlignment="1">
      <alignment wrapText="1"/>
    </xf>
    <xf numFmtId="165" fontId="1" fillId="7" borderId="2" xfId="0" applyNumberFormat="1" applyFont="1" applyFill="1" applyBorder="1" applyAlignment="1">
      <alignment wrapText="1"/>
    </xf>
    <xf numFmtId="164" fontId="10" fillId="0" borderId="1" xfId="0" applyNumberFormat="1" applyFont="1" applyBorder="1" applyAlignment="1">
      <alignment wrapText="1"/>
    </xf>
    <xf numFmtId="164" fontId="0" fillId="4" borderId="1" xfId="0" applyNumberFormat="1" applyFill="1" applyBorder="1"/>
    <xf numFmtId="164" fontId="7" fillId="3" borderId="1" xfId="0" applyNumberFormat="1" applyFont="1" applyFill="1" applyBorder="1" applyAlignment="1">
      <alignment wrapText="1"/>
    </xf>
    <xf numFmtId="164" fontId="7" fillId="4" borderId="1" xfId="0" applyNumberFormat="1" applyFont="1" applyFill="1" applyBorder="1" applyAlignment="1">
      <alignment wrapText="1"/>
    </xf>
    <xf numFmtId="164" fontId="7" fillId="5" borderId="1" xfId="0" applyNumberFormat="1" applyFont="1" applyFill="1" applyBorder="1" applyAlignment="1">
      <alignment wrapText="1"/>
    </xf>
    <xf numFmtId="165" fontId="3" fillId="0" borderId="19" xfId="0" applyNumberFormat="1" applyFont="1" applyBorder="1" applyAlignment="1">
      <alignment wrapText="1"/>
    </xf>
    <xf numFmtId="165" fontId="3" fillId="14" borderId="1" xfId="0" applyNumberFormat="1" applyFont="1" applyFill="1" applyBorder="1" applyAlignment="1">
      <alignment wrapText="1"/>
    </xf>
    <xf numFmtId="165" fontId="3" fillId="0" borderId="1" xfId="0" applyNumberFormat="1" applyFont="1" applyFill="1" applyBorder="1" applyAlignment="1">
      <alignment wrapText="1"/>
    </xf>
    <xf numFmtId="165" fontId="1" fillId="7" borderId="1" xfId="0" applyNumberFormat="1" applyFont="1" applyFill="1" applyBorder="1" applyAlignment="1">
      <alignment wrapText="1"/>
    </xf>
    <xf numFmtId="165" fontId="1" fillId="7" borderId="5" xfId="0" applyNumberFormat="1" applyFont="1" applyFill="1" applyBorder="1" applyAlignment="1">
      <alignment wrapText="1"/>
    </xf>
    <xf numFmtId="165" fontId="1" fillId="6" borderId="24" xfId="0" applyNumberFormat="1" applyFont="1" applyFill="1" applyBorder="1" applyAlignment="1">
      <alignment wrapText="1"/>
    </xf>
    <xf numFmtId="166" fontId="3" fillId="0" borderId="1" xfId="0" applyNumberFormat="1" applyFont="1" applyBorder="1" applyAlignment="1">
      <alignment wrapText="1"/>
    </xf>
    <xf numFmtId="166" fontId="3" fillId="0" borderId="20" xfId="0" applyNumberFormat="1" applyFont="1" applyBorder="1" applyAlignment="1">
      <alignment wrapText="1"/>
    </xf>
    <xf numFmtId="167" fontId="3" fillId="0" borderId="1" xfId="0" applyNumberFormat="1" applyFont="1" applyBorder="1" applyAlignment="1">
      <alignment wrapText="1"/>
    </xf>
    <xf numFmtId="167" fontId="3" fillId="0" borderId="1" xfId="0" applyNumberFormat="1" applyFont="1" applyBorder="1" applyAlignment="1">
      <alignment horizontal="right" wrapText="1"/>
    </xf>
    <xf numFmtId="167" fontId="3" fillId="0" borderId="20" xfId="0" applyNumberFormat="1" applyFont="1" applyBorder="1" applyAlignment="1">
      <alignment wrapText="1"/>
    </xf>
    <xf numFmtId="167" fontId="1" fillId="0" borderId="1" xfId="0" applyNumberFormat="1" applyFont="1" applyBorder="1" applyAlignment="1">
      <alignment wrapText="1"/>
    </xf>
    <xf numFmtId="167" fontId="1" fillId="6" borderId="1" xfId="0" applyNumberFormat="1" applyFont="1" applyFill="1" applyBorder="1" applyAlignment="1">
      <alignment wrapText="1"/>
    </xf>
    <xf numFmtId="166" fontId="1" fillId="0" borderId="1" xfId="0" applyNumberFormat="1" applyFont="1" applyBorder="1" applyAlignment="1">
      <alignment wrapText="1"/>
    </xf>
    <xf numFmtId="166" fontId="1" fillId="6" borderId="1" xfId="0" applyNumberFormat="1" applyFont="1" applyFill="1" applyBorder="1" applyAlignment="1">
      <alignment wrapText="1"/>
    </xf>
    <xf numFmtId="168" fontId="3" fillId="0" borderId="1" xfId="0" applyNumberFormat="1" applyFont="1" applyBorder="1" applyAlignment="1">
      <alignment wrapText="1"/>
    </xf>
    <xf numFmtId="168" fontId="1" fillId="0" borderId="0" xfId="0" applyNumberFormat="1" applyFont="1" applyAlignment="1"/>
    <xf numFmtId="169" fontId="3" fillId="0" borderId="1" xfId="0" applyNumberFormat="1" applyFont="1" applyBorder="1" applyAlignment="1">
      <alignment wrapText="1"/>
    </xf>
    <xf numFmtId="165" fontId="1" fillId="0" borderId="1" xfId="0" applyNumberFormat="1" applyFont="1" applyFill="1" applyBorder="1" applyAlignment="1">
      <alignment wrapText="1"/>
    </xf>
    <xf numFmtId="164" fontId="1" fillId="0" borderId="1" xfId="0" applyNumberFormat="1" applyFont="1" applyFill="1" applyBorder="1" applyAlignment="1">
      <alignment wrapText="1"/>
    </xf>
    <xf numFmtId="2" fontId="1" fillId="0" borderId="1" xfId="0" applyNumberFormat="1" applyFont="1" applyFill="1" applyBorder="1" applyAlignment="1">
      <alignment wrapText="1"/>
    </xf>
    <xf numFmtId="164" fontId="1" fillId="0" borderId="2" xfId="0" applyNumberFormat="1" applyFont="1" applyFill="1" applyBorder="1" applyAlignment="1">
      <alignment wrapText="1"/>
    </xf>
    <xf numFmtId="164" fontId="1" fillId="0" borderId="10" xfId="0" applyNumberFormat="1" applyFont="1" applyFill="1" applyBorder="1" applyAlignment="1">
      <alignment wrapText="1"/>
    </xf>
    <xf numFmtId="2" fontId="1" fillId="0" borderId="5" xfId="0" applyNumberFormat="1" applyFont="1" applyFill="1" applyBorder="1" applyAlignment="1">
      <alignment wrapText="1"/>
    </xf>
    <xf numFmtId="0" fontId="6" fillId="10" borderId="1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1" fillId="12" borderId="29" xfId="0" applyFont="1" applyFill="1" applyBorder="1" applyAlignment="1">
      <alignment horizontal="center" vertical="center" wrapText="1"/>
    </xf>
    <xf numFmtId="0" fontId="1" fillId="12" borderId="30" xfId="0" applyFont="1" applyFill="1" applyBorder="1" applyAlignment="1">
      <alignment horizontal="center" vertical="center" wrapText="1"/>
    </xf>
    <xf numFmtId="0" fontId="1" fillId="9" borderId="11" xfId="0" applyFont="1" applyFill="1" applyBorder="1" applyAlignment="1">
      <alignment horizontal="center" wrapText="1"/>
    </xf>
    <xf numFmtId="0" fontId="1" fillId="9" borderId="1" xfId="0" applyFont="1" applyFill="1" applyBorder="1" applyAlignment="1">
      <alignment horizont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8" borderId="11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0" fillId="0" borderId="23" xfId="0" applyBorder="1"/>
    <xf numFmtId="0" fontId="21" fillId="11" borderId="29" xfId="0" applyFont="1" applyFill="1" applyBorder="1" applyAlignment="1">
      <alignment horizontal="center" vertical="center" wrapText="1"/>
    </xf>
    <xf numFmtId="0" fontId="21" fillId="11" borderId="30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wrapText="1"/>
    </xf>
    <xf numFmtId="0" fontId="1" fillId="0" borderId="23" xfId="0" applyFont="1" applyBorder="1" applyAlignment="1">
      <alignment horizontal="center" wrapText="1"/>
    </xf>
    <xf numFmtId="0" fontId="1" fillId="0" borderId="34" xfId="0" applyFont="1" applyBorder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wrapText="1"/>
    </xf>
    <xf numFmtId="0" fontId="1" fillId="0" borderId="12" xfId="0" applyFont="1" applyFill="1" applyBorder="1" applyAlignment="1">
      <alignment horizontal="center" wrapText="1"/>
    </xf>
    <xf numFmtId="165" fontId="1" fillId="6" borderId="5" xfId="0" applyNumberFormat="1" applyFont="1" applyFill="1" applyBorder="1" applyAlignment="1">
      <alignment horizontal="center" wrapText="1"/>
    </xf>
    <xf numFmtId="165" fontId="1" fillId="6" borderId="10" xfId="0" applyNumberFormat="1" applyFont="1" applyFill="1" applyBorder="1" applyAlignment="1">
      <alignment horizontal="center" wrapText="1"/>
    </xf>
    <xf numFmtId="0" fontId="1" fillId="0" borderId="31" xfId="0" applyFont="1" applyBorder="1" applyAlignment="1">
      <alignment horizontal="center" vertical="center" wrapText="1"/>
    </xf>
    <xf numFmtId="165" fontId="3" fillId="0" borderId="19" xfId="0" applyNumberFormat="1" applyFont="1" applyBorder="1" applyAlignment="1">
      <alignment wrapText="1"/>
    </xf>
    <xf numFmtId="165" fontId="3" fillId="0" borderId="20" xfId="0" applyNumberFormat="1" applyFont="1" applyBorder="1" applyAlignment="1">
      <alignment wrapText="1"/>
    </xf>
    <xf numFmtId="164" fontId="3" fillId="0" borderId="19" xfId="0" applyNumberFormat="1" applyFont="1" applyBorder="1" applyAlignment="1">
      <alignment wrapText="1"/>
    </xf>
    <xf numFmtId="164" fontId="3" fillId="0" borderId="20" xfId="0" applyNumberFormat="1" applyFont="1" applyBorder="1" applyAlignment="1">
      <alignment wrapText="1"/>
    </xf>
    <xf numFmtId="164" fontId="3" fillId="6" borderId="19" xfId="0" applyNumberFormat="1" applyFont="1" applyFill="1" applyBorder="1" applyAlignment="1">
      <alignment wrapText="1"/>
    </xf>
    <xf numFmtId="164" fontId="3" fillId="6" borderId="20" xfId="0" applyNumberFormat="1" applyFont="1" applyFill="1" applyBorder="1" applyAlignment="1">
      <alignment wrapText="1"/>
    </xf>
    <xf numFmtId="165" fontId="3" fillId="0" borderId="19" xfId="0" applyNumberFormat="1" applyFont="1" applyBorder="1" applyAlignment="1">
      <alignment horizontal="right" wrapText="1"/>
    </xf>
    <xf numFmtId="165" fontId="3" fillId="0" borderId="20" xfId="0" applyNumberFormat="1" applyFont="1" applyBorder="1" applyAlignment="1">
      <alignment horizontal="right" wrapText="1"/>
    </xf>
    <xf numFmtId="0" fontId="19" fillId="11" borderId="32" xfId="0" applyFont="1" applyFill="1" applyBorder="1" applyAlignment="1">
      <alignment horizontal="center" wrapText="1"/>
    </xf>
    <xf numFmtId="0" fontId="20" fillId="12" borderId="32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2" fillId="12" borderId="32" xfId="0" applyFont="1" applyFill="1" applyBorder="1" applyAlignment="1">
      <alignment horizontal="center" wrapText="1"/>
    </xf>
    <xf numFmtId="0" fontId="4" fillId="12" borderId="32" xfId="0" applyFont="1" applyFill="1" applyBorder="1" applyAlignment="1">
      <alignment horizontal="center" wrapText="1"/>
    </xf>
    <xf numFmtId="0" fontId="2" fillId="17" borderId="32" xfId="0" applyFont="1" applyFill="1" applyBorder="1" applyAlignment="1">
      <alignment horizontal="center" wrapText="1"/>
    </xf>
    <xf numFmtId="0" fontId="4" fillId="17" borderId="32" xfId="0" applyFont="1" applyFill="1" applyBorder="1" applyAlignment="1">
      <alignment horizontal="center" wrapText="1"/>
    </xf>
    <xf numFmtId="0" fontId="4" fillId="13" borderId="32" xfId="0" applyFont="1" applyFill="1" applyBorder="1" applyAlignment="1">
      <alignment horizontal="center" wrapText="1"/>
    </xf>
    <xf numFmtId="0" fontId="2" fillId="0" borderId="32" xfId="0" applyFont="1" applyBorder="1" applyAlignment="1">
      <alignment horizontal="center" wrapText="1"/>
    </xf>
    <xf numFmtId="0" fontId="4" fillId="0" borderId="32" xfId="0" applyFont="1" applyBorder="1" applyAlignment="1">
      <alignment horizontal="center" wrapText="1"/>
    </xf>
    <xf numFmtId="0" fontId="2" fillId="13" borderId="32" xfId="0" applyFont="1" applyFill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4" fillId="15" borderId="32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2" fillId="16" borderId="32" xfId="0" applyFont="1" applyFill="1" applyBorder="1" applyAlignment="1">
      <alignment horizontal="center" wrapText="1"/>
    </xf>
    <xf numFmtId="0" fontId="4" fillId="16" borderId="32" xfId="0" applyFont="1" applyFill="1" applyBorder="1" applyAlignment="1">
      <alignment horizontal="center" wrapText="1"/>
    </xf>
    <xf numFmtId="0" fontId="2" fillId="15" borderId="32" xfId="0" applyFont="1" applyFill="1" applyBorder="1" applyAlignment="1">
      <alignment horizontal="center" wrapText="1"/>
    </xf>
    <xf numFmtId="0" fontId="4" fillId="15" borderId="1" xfId="0" applyFont="1" applyFill="1" applyBorder="1" applyAlignment="1">
      <alignment horizontal="center" wrapText="1"/>
    </xf>
    <xf numFmtId="0" fontId="4" fillId="16" borderId="1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DEE85"/>
      <color rgb="FFCC8D8C"/>
      <color rgb="FFCB83FF"/>
      <color rgb="FF40DA25"/>
      <color rgb="FFF1FFB1"/>
      <color rgb="FFF9FFB2"/>
      <color rgb="FFE8FF96"/>
      <color rgb="FFFFFA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37</xdr:row>
      <xdr:rowOff>133350</xdr:rowOff>
    </xdr:from>
    <xdr:to>
      <xdr:col>6</xdr:col>
      <xdr:colOff>695325</xdr:colOff>
      <xdr:row>38</xdr:row>
      <xdr:rowOff>0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495550" y="3933825"/>
          <a:ext cx="2924175" cy="9525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76200</xdr:colOff>
      <xdr:row>40</xdr:row>
      <xdr:rowOff>257175</xdr:rowOff>
    </xdr:from>
    <xdr:to>
      <xdr:col>6</xdr:col>
      <xdr:colOff>733425</xdr:colOff>
      <xdr:row>40</xdr:row>
      <xdr:rowOff>258763</xdr:rowOff>
    </xdr:to>
    <xdr:cxnSp macro="">
      <xdr:nvCxnSpPr>
        <xdr:cNvPr id="6" name="Connecteur droit avec flèch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4038600" y="4505325"/>
          <a:ext cx="1419225" cy="1588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739140</xdr:colOff>
      <xdr:row>42</xdr:row>
      <xdr:rowOff>15240</xdr:rowOff>
    </xdr:from>
    <xdr:to>
      <xdr:col>6</xdr:col>
      <xdr:colOff>723900</xdr:colOff>
      <xdr:row>44</xdr:row>
      <xdr:rowOff>228600</xdr:rowOff>
    </xdr:to>
    <xdr:cxnSp macro="">
      <xdr:nvCxnSpPr>
        <xdr:cNvPr id="8" name="Connecteur droit avec flèch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2461260" y="6781800"/>
          <a:ext cx="3200400" cy="487680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95250</xdr:colOff>
      <xdr:row>44</xdr:row>
      <xdr:rowOff>276225</xdr:rowOff>
    </xdr:from>
    <xdr:to>
      <xdr:col>6</xdr:col>
      <xdr:colOff>704850</xdr:colOff>
      <xdr:row>44</xdr:row>
      <xdr:rowOff>277813</xdr:rowOff>
    </xdr:to>
    <xdr:cxnSp macro="">
      <xdr:nvCxnSpPr>
        <xdr:cNvPr id="10" name="Connecteur droit avec flèch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2533650" y="5553075"/>
          <a:ext cx="2895600" cy="1588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58</xdr:row>
      <xdr:rowOff>76200</xdr:rowOff>
    </xdr:from>
    <xdr:to>
      <xdr:col>4</xdr:col>
      <xdr:colOff>752475</xdr:colOff>
      <xdr:row>58</xdr:row>
      <xdr:rowOff>85725</xdr:rowOff>
    </xdr:to>
    <xdr:cxnSp macro="">
      <xdr:nvCxnSpPr>
        <xdr:cNvPr id="14" name="Connecteur droit avec flèch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3200400" y="10591800"/>
          <a:ext cx="752475" cy="9525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1058</xdr:colOff>
      <xdr:row>62</xdr:row>
      <xdr:rowOff>84666</xdr:rowOff>
    </xdr:from>
    <xdr:to>
      <xdr:col>4</xdr:col>
      <xdr:colOff>753533</xdr:colOff>
      <xdr:row>62</xdr:row>
      <xdr:rowOff>87841</xdr:rowOff>
    </xdr:to>
    <xdr:cxnSp macro="">
      <xdr:nvCxnSpPr>
        <xdr:cNvPr id="16" name="Connecteur droit avec flèch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V="1">
          <a:off x="3684058" y="11040533"/>
          <a:ext cx="752475" cy="3175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601134</xdr:colOff>
      <xdr:row>14</xdr:row>
      <xdr:rowOff>118532</xdr:rowOff>
    </xdr:from>
    <xdr:to>
      <xdr:col>11</xdr:col>
      <xdr:colOff>399229</xdr:colOff>
      <xdr:row>31</xdr:row>
      <xdr:rowOff>69417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01" y="2920999"/>
          <a:ext cx="4285428" cy="28041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793885</xdr:colOff>
      <xdr:row>14</xdr:row>
      <xdr:rowOff>10448</xdr:rowOff>
    </xdr:from>
    <xdr:to>
      <xdr:col>15</xdr:col>
      <xdr:colOff>25401</xdr:colOff>
      <xdr:row>27</xdr:row>
      <xdr:rowOff>165100</xdr:rowOff>
    </xdr:to>
    <xdr:sp macro="" textlink="">
      <xdr:nvSpPr>
        <xdr:cNvPr id="7179" name="AutoShape 11">
          <a:extLst>
            <a:ext uri="{FF2B5EF4-FFF2-40B4-BE49-F238E27FC236}">
              <a16:creationId xmlns:a16="http://schemas.microsoft.com/office/drawing/2014/main" id="{00000000-0008-0000-0100-00000B1C0000}"/>
            </a:ext>
          </a:extLst>
        </xdr:cNvPr>
        <xdr:cNvSpPr>
          <a:spLocks noChangeArrowheads="1"/>
        </xdr:cNvSpPr>
      </xdr:nvSpPr>
      <xdr:spPr bwMode="auto">
        <a:xfrm>
          <a:off x="6572385" y="3909348"/>
          <a:ext cx="5835516" cy="2631152"/>
        </a:xfrm>
        <a:prstGeom prst="roundRect">
          <a:avLst>
            <a:gd name="adj" fmla="val 4394"/>
          </a:avLst>
        </a:pr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sng" strike="noStrike">
              <a:solidFill>
                <a:srgbClr val="000000"/>
              </a:solidFill>
              <a:latin typeface="Calibri"/>
            </a:rPr>
            <a:t>A propos des "prestations réciproques" entre les centres auxiliaires</a:t>
          </a:r>
          <a:r>
            <a:rPr lang="fr-FR" sz="1100" b="0" i="0" strike="noStrike">
              <a:solidFill>
                <a:srgbClr val="000000"/>
              </a:solidFill>
              <a:latin typeface="Calibri"/>
            </a:rPr>
            <a:t> : </a:t>
          </a:r>
        </a:p>
        <a:p>
          <a:pPr algn="l" rtl="0">
            <a:defRPr sz="1000"/>
          </a:pPr>
          <a:r>
            <a:rPr lang="fr-FR" sz="1100" b="0" i="0" strike="noStrike">
              <a:solidFill>
                <a:srgbClr val="000000"/>
              </a:solidFill>
              <a:latin typeface="Calibri"/>
            </a:rPr>
            <a:t>Les centres auxiliaires fournissent des prestations aux centres principaux, mais peuvent aussi se fournir des prestations entre eux.</a:t>
          </a:r>
        </a:p>
        <a:p>
          <a:pPr algn="l" rtl="0">
            <a:defRPr sz="1000"/>
          </a:pPr>
          <a:r>
            <a:rPr lang="fr-FR" sz="1100" b="0" i="0" strike="noStrike">
              <a:solidFill>
                <a:srgbClr val="000000"/>
              </a:solidFill>
              <a:latin typeface="Calibri"/>
            </a:rPr>
            <a:t>Il faut donc calculer le montant de ces prestations réciproques, pour obtenir le montant total des charges des centres auxiliaires, et répartir ensuite ce montant vers les centres principaux.</a:t>
          </a:r>
        </a:p>
        <a:p>
          <a:pPr algn="l" rtl="0">
            <a:defRPr sz="1000"/>
          </a:pPr>
          <a:r>
            <a:rPr lang="fr-FR" sz="1100" b="0" i="0" strike="noStrike">
              <a:solidFill>
                <a:srgbClr val="000000"/>
              </a:solidFill>
              <a:latin typeface="Calibri"/>
            </a:rPr>
            <a:t>Cela se résume à un système d'équations à deux inconnues, qui peut être traité par Excel.</a:t>
          </a:r>
        </a:p>
        <a:p>
          <a:pPr algn="l" rtl="0">
            <a:defRPr sz="1000"/>
          </a:pPr>
          <a:r>
            <a:rPr lang="fr-FR" sz="1100" b="0" i="0" strike="noStrike">
              <a:solidFill>
                <a:srgbClr val="000000"/>
              </a:solidFill>
              <a:latin typeface="Calibri"/>
            </a:rPr>
            <a:t>Ici : le centre "entretien"</a:t>
          </a: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 reçoit 250€ de prestations de la part du centre "transport". Inversement, le centre "transport" reçoit 225€ de prestations du centre "entretien".</a:t>
          </a:r>
        </a:p>
        <a:p>
          <a:pPr algn="l" rtl="0">
            <a:defRPr sz="1000"/>
          </a:pP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=&gt; Le véritable total des charges indirectes dans chacun de ces centres est donc à calculer.</a:t>
          </a:r>
        </a:p>
        <a:p>
          <a:pPr algn="l" rtl="0">
            <a:defRPr sz="1000"/>
          </a:pP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Soit X le total des charges "entretien" et Y le total des charges "Transport" : </a:t>
          </a:r>
        </a:p>
        <a:p>
          <a:pPr algn="l" rtl="0">
            <a:defRPr sz="1000"/>
          </a:pP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X = 1250 + 10%Y</a:t>
          </a:r>
        </a:p>
        <a:p>
          <a:pPr algn="l" rtl="0">
            <a:defRPr sz="1000"/>
          </a:pP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Y= 2275 + 15%X</a:t>
          </a:r>
        </a:p>
        <a:p>
          <a:pPr algn="l" rtl="0">
            <a:defRPr sz="1000"/>
          </a:pPr>
          <a:r>
            <a:rPr lang="fr-FR" sz="1000" b="0" i="0" baseline="0">
              <a:effectLst/>
              <a:latin typeface="+mn-lt"/>
              <a:ea typeface="+mn-ea"/>
              <a:cs typeface="+mn-cs"/>
            </a:rPr>
            <a:t>(on trouve 1500 pour "entretien" et 2500 pour "transport").</a:t>
          </a:r>
          <a:endParaRPr lang="fr-FR" sz="1100" b="0" i="0" strike="noStrike" baseline="0">
            <a:solidFill>
              <a:srgbClr val="000000"/>
            </a:solidFill>
            <a:latin typeface="Calibri"/>
          </a:endParaRPr>
        </a:p>
        <a:p>
          <a:pPr algn="l" rtl="0">
            <a:defRPr sz="1000"/>
          </a:pP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Ce sont donc ces montants qui sont à répartir entre les centres principaux.</a:t>
          </a:r>
          <a:endParaRPr lang="fr-FR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  <xdr:twoCellAnchor>
    <xdr:from>
      <xdr:col>0</xdr:col>
      <xdr:colOff>807541</xdr:colOff>
      <xdr:row>14</xdr:row>
      <xdr:rowOff>5445</xdr:rowOff>
    </xdr:from>
    <xdr:to>
      <xdr:col>7</xdr:col>
      <xdr:colOff>673100</xdr:colOff>
      <xdr:row>21</xdr:row>
      <xdr:rowOff>38641</xdr:rowOff>
    </xdr:to>
    <xdr:sp macro="" textlink="">
      <xdr:nvSpPr>
        <xdr:cNvPr id="7180" name="AutoShape 12">
          <a:extLst>
            <a:ext uri="{FF2B5EF4-FFF2-40B4-BE49-F238E27FC236}">
              <a16:creationId xmlns:a16="http://schemas.microsoft.com/office/drawing/2014/main" id="{00000000-0008-0000-0100-00000C1C0000}"/>
            </a:ext>
          </a:extLst>
        </xdr:cNvPr>
        <xdr:cNvSpPr>
          <a:spLocks noChangeArrowheads="1"/>
        </xdr:cNvSpPr>
      </xdr:nvSpPr>
      <xdr:spPr bwMode="auto">
        <a:xfrm>
          <a:off x="807541" y="3599545"/>
          <a:ext cx="5644059" cy="1366696"/>
        </a:xfrm>
        <a:prstGeom prst="roundRect">
          <a:avLst>
            <a:gd name="adj" fmla="val 3351"/>
          </a:avLst>
        </a:prstGeom>
        <a:solidFill>
          <a:schemeClr val="accent5">
            <a:lumMod val="20000"/>
            <a:lumOff val="80000"/>
          </a:schemeClr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strike="noStrike">
              <a:solidFill>
                <a:srgbClr val="000000"/>
              </a:solidFill>
              <a:latin typeface="Calibri"/>
            </a:rPr>
            <a:t>1) Une partie du tableau ne peut pas être remplie tout de suite. Laquelle et pourquoi? </a:t>
          </a:r>
        </a:p>
        <a:p>
          <a:pPr algn="l" rtl="0">
            <a:defRPr sz="1000"/>
          </a:pPr>
          <a:r>
            <a:rPr lang="fr-FR" sz="1100" b="0" i="0" strike="noStrike">
              <a:solidFill>
                <a:srgbClr val="000000"/>
              </a:solidFill>
              <a:latin typeface="Calibri"/>
            </a:rPr>
            <a:t>La</a:t>
          </a: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 partie Nb d'UO et coût de l'UO de l'administration ne peut pas être remplie car on ne sait pas encore le coût de production des produits vendus.</a:t>
          </a:r>
          <a:endParaRPr lang="fr-FR" sz="1100" b="0" i="0" strike="noStrike">
            <a:solidFill>
              <a:srgbClr val="000000"/>
            </a:solidFill>
            <a:latin typeface="Calibri"/>
          </a:endParaRPr>
        </a:p>
        <a:p>
          <a:pPr algn="l" rtl="0">
            <a:defRPr sz="1000"/>
          </a:pPr>
          <a:endParaRPr lang="fr-FR" sz="1100" b="0" i="0" strike="noStrike">
            <a:solidFill>
              <a:srgbClr val="000000"/>
            </a:solidFill>
            <a:latin typeface="Calibri"/>
          </a:endParaRPr>
        </a:p>
        <a:p>
          <a:pPr algn="l" rtl="0">
            <a:defRPr sz="1000"/>
          </a:pPr>
          <a:r>
            <a:rPr lang="fr-FR" sz="1100" b="1" i="0" strike="noStrike">
              <a:solidFill>
                <a:srgbClr val="000000"/>
              </a:solidFill>
              <a:latin typeface="Calibri"/>
            </a:rPr>
            <a:t>2) Commentez le choix des unités d'œuvre dans les ateliers.</a:t>
          </a:r>
        </a:p>
        <a:p>
          <a:pPr algn="l" rtl="0">
            <a:defRPr sz="1000"/>
          </a:pPr>
          <a:r>
            <a:rPr lang="fr-FR" sz="1100" b="0" i="0" strike="noStrike">
              <a:solidFill>
                <a:srgbClr val="000000"/>
              </a:solidFill>
              <a:latin typeface="Calibri"/>
            </a:rPr>
            <a:t>L'atelier suivant</a:t>
          </a: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fr-FR" sz="1100" b="0" i="0" strike="noStrike">
              <a:solidFill>
                <a:srgbClr val="000000"/>
              </a:solidFill>
              <a:latin typeface="Calibri"/>
            </a:rPr>
            <a:t>utilise</a:t>
          </a:r>
          <a:r>
            <a:rPr lang="fr-FR" sz="1100" b="0" i="0" strike="noStrike" baseline="0">
              <a:solidFill>
                <a:srgbClr val="000000"/>
              </a:solidFill>
              <a:latin typeface="Calibri"/>
            </a:rPr>
            <a:t> le résultat de l'atelier précédent. Ainsi chaque atelier a pour UO la mesure du résultat de l'atelier précédent.</a:t>
          </a:r>
        </a:p>
        <a:p>
          <a:pPr algn="l" rtl="0">
            <a:defRPr sz="1000"/>
          </a:pPr>
          <a:endParaRPr lang="fr-FR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7358</xdr:colOff>
      <xdr:row>24</xdr:row>
      <xdr:rowOff>156859</xdr:rowOff>
    </xdr:from>
    <xdr:to>
      <xdr:col>9</xdr:col>
      <xdr:colOff>552450</xdr:colOff>
      <xdr:row>25</xdr:row>
      <xdr:rowOff>43426</xdr:rowOff>
    </xdr:to>
    <xdr:cxnSp macro="">
      <xdr:nvCxnSpPr>
        <xdr:cNvPr id="3075" name="Connecteur droit avec flèche 4">
          <a:extLs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CxnSpPr>
          <a:cxnSpLocks noChangeShapeType="1"/>
          <a:stCxn id="7" idx="1"/>
          <a:endCxn id="8" idx="3"/>
        </xdr:cNvCxnSpPr>
      </xdr:nvCxnSpPr>
      <xdr:spPr bwMode="auto">
        <a:xfrm flipH="1" flipV="1">
          <a:off x="9140711" y="3708296"/>
          <a:ext cx="545092" cy="190759"/>
        </a:xfrm>
        <a:prstGeom prst="straightConnector1">
          <a:avLst/>
        </a:prstGeom>
        <a:noFill/>
        <a:ln w="25400" algn="ctr">
          <a:solidFill>
            <a:schemeClr val="accent1"/>
          </a:solidFill>
          <a:round/>
          <a:headEnd/>
          <a:tailEnd type="arrow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cxnSp>
    <xdr:clientData/>
  </xdr:twoCellAnchor>
  <xdr:twoCellAnchor>
    <xdr:from>
      <xdr:col>9</xdr:col>
      <xdr:colOff>15210</xdr:colOff>
      <xdr:row>31</xdr:row>
      <xdr:rowOff>73207</xdr:rowOff>
    </xdr:from>
    <xdr:to>
      <xdr:col>9</xdr:col>
      <xdr:colOff>581025</xdr:colOff>
      <xdr:row>33</xdr:row>
      <xdr:rowOff>73358</xdr:rowOff>
    </xdr:to>
    <xdr:cxnSp macro="">
      <xdr:nvCxnSpPr>
        <xdr:cNvPr id="3076" name="Connecteur droit avec flèche 5">
          <a:extLs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CxnSpPr>
          <a:cxnSpLocks noChangeShapeType="1"/>
          <a:stCxn id="3078" idx="1"/>
          <a:endCxn id="12" idx="3"/>
        </xdr:cNvCxnSpPr>
      </xdr:nvCxnSpPr>
      <xdr:spPr bwMode="auto">
        <a:xfrm flipH="1" flipV="1">
          <a:off x="9148563" y="4833806"/>
          <a:ext cx="565815" cy="304342"/>
        </a:xfrm>
        <a:prstGeom prst="straightConnector1">
          <a:avLst/>
        </a:prstGeom>
        <a:noFill/>
        <a:ln w="25400" algn="ctr">
          <a:solidFill>
            <a:srgbClr val="4F81BD"/>
          </a:solidFill>
          <a:round/>
          <a:headEnd/>
          <a:tailEnd type="arrow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cxnSp>
    <xdr:clientData/>
  </xdr:twoCellAnchor>
  <xdr:oneCellAnchor>
    <xdr:from>
      <xdr:col>9</xdr:col>
      <xdr:colOff>552450</xdr:colOff>
      <xdr:row>24</xdr:row>
      <xdr:rowOff>66675</xdr:rowOff>
    </xdr:from>
    <xdr:ext cx="1190625" cy="561885"/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8534400" y="3552825"/>
          <a:ext cx="1190625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fr-FR" sz="1000"/>
            <a:t>coût d'acquisition des fèves consommées</a:t>
          </a:r>
        </a:p>
      </xdr:txBody>
    </xdr:sp>
    <xdr:clientData/>
  </xdr:oneCellAnchor>
  <xdr:twoCellAnchor editAs="oneCell">
    <xdr:from>
      <xdr:col>9</xdr:col>
      <xdr:colOff>581025</xdr:colOff>
      <xdr:row>31</xdr:row>
      <xdr:rowOff>76200</xdr:rowOff>
    </xdr:from>
    <xdr:to>
      <xdr:col>10</xdr:col>
      <xdr:colOff>828675</xdr:colOff>
      <xdr:row>35</xdr:row>
      <xdr:rowOff>85725</xdr:rowOff>
    </xdr:to>
    <xdr:sp macro="" textlink="">
      <xdr:nvSpPr>
        <xdr:cNvPr id="3078" name="ZoneTexte 7">
          <a:extLs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 txBox="1">
          <a:spLocks noChangeArrowheads="1"/>
        </xdr:cNvSpPr>
      </xdr:nvSpPr>
      <xdr:spPr bwMode="auto">
        <a:xfrm>
          <a:off x="8562975" y="4724400"/>
          <a:ext cx="1104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fr-FR" sz="1000" b="0" i="0" strike="noStrike">
              <a:solidFill>
                <a:srgbClr val="000000"/>
              </a:solidFill>
              <a:latin typeface="Calibri"/>
            </a:rPr>
            <a:t>coût d'acquisition du sucre </a:t>
          </a:r>
        </a:p>
        <a:p>
          <a:pPr algn="l" rtl="0">
            <a:defRPr sz="1000"/>
          </a:pPr>
          <a:r>
            <a:rPr lang="fr-FR" sz="1000" b="0" i="0" strike="noStrike">
              <a:solidFill>
                <a:srgbClr val="000000"/>
              </a:solidFill>
              <a:latin typeface="Calibri"/>
            </a:rPr>
            <a:t> consommé</a:t>
          </a:r>
        </a:p>
      </xdr:txBody>
    </xdr:sp>
    <xdr:clientData/>
  </xdr:twoCellAnchor>
  <xdr:twoCellAnchor>
    <xdr:from>
      <xdr:col>5</xdr:col>
      <xdr:colOff>16883</xdr:colOff>
      <xdr:row>24</xdr:row>
      <xdr:rowOff>9525</xdr:rowOff>
    </xdr:from>
    <xdr:to>
      <xdr:col>9</xdr:col>
      <xdr:colOff>7358</xdr:colOff>
      <xdr:row>25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5226164" y="3560962"/>
          <a:ext cx="3914547" cy="294667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fr-FR" sz="1100"/>
        </a:p>
      </xdr:txBody>
    </xdr:sp>
    <xdr:clientData/>
  </xdr:twoCellAnchor>
  <xdr:twoCellAnchor>
    <xdr:from>
      <xdr:col>5</xdr:col>
      <xdr:colOff>15210</xdr:colOff>
      <xdr:row>30</xdr:row>
      <xdr:rowOff>144492</xdr:rowOff>
    </xdr:from>
    <xdr:to>
      <xdr:col>9</xdr:col>
      <xdr:colOff>15210</xdr:colOff>
      <xdr:row>32</xdr:row>
      <xdr:rowOff>1921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5224491" y="4752995"/>
          <a:ext cx="3924072" cy="161621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7427</xdr:colOff>
      <xdr:row>37</xdr:row>
      <xdr:rowOff>101719</xdr:rowOff>
    </xdr:from>
    <xdr:to>
      <xdr:col>10</xdr:col>
      <xdr:colOff>428625</xdr:colOff>
      <xdr:row>38</xdr:row>
      <xdr:rowOff>28094</xdr:rowOff>
    </xdr:to>
    <xdr:cxnSp macro="">
      <xdr:nvCxnSpPr>
        <xdr:cNvPr id="6146" name="Connecteur droit avec flèche 3">
          <a:extLst>
            <a:ext uri="{FF2B5EF4-FFF2-40B4-BE49-F238E27FC236}">
              <a16:creationId xmlns:a16="http://schemas.microsoft.com/office/drawing/2014/main" id="{00000000-0008-0000-0300-000002180000}"/>
            </a:ext>
          </a:extLst>
        </xdr:cNvPr>
        <xdr:cNvCxnSpPr>
          <a:cxnSpLocks noChangeShapeType="1"/>
          <a:stCxn id="5" idx="1"/>
          <a:endCxn id="7" idx="3"/>
        </xdr:cNvCxnSpPr>
      </xdr:nvCxnSpPr>
      <xdr:spPr bwMode="auto">
        <a:xfrm flipH="1" flipV="1">
          <a:off x="7426901" y="9266514"/>
          <a:ext cx="1245584" cy="119475"/>
        </a:xfrm>
        <a:prstGeom prst="straightConnector1">
          <a:avLst/>
        </a:prstGeom>
        <a:noFill/>
        <a:ln w="25400" algn="ctr">
          <a:solidFill>
            <a:srgbClr val="4F81BD"/>
          </a:solidFill>
          <a:round/>
          <a:headEnd/>
          <a:tailEnd type="arrow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cxnSp>
    <xdr:clientData/>
  </xdr:twoCellAnchor>
  <xdr:oneCellAnchor>
    <xdr:from>
      <xdr:col>10</xdr:col>
      <xdr:colOff>428625</xdr:colOff>
      <xdr:row>36</xdr:row>
      <xdr:rowOff>133350</xdr:rowOff>
    </xdr:from>
    <xdr:ext cx="1600200" cy="561885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8048625" y="6791325"/>
          <a:ext cx="1600200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fr-FR" sz="1000"/>
            <a:t>coût de production du beurre de cacao consommé</a:t>
          </a:r>
        </a:p>
      </xdr:txBody>
    </xdr:sp>
    <xdr:clientData/>
  </xdr:oneCellAnchor>
  <xdr:twoCellAnchor>
    <xdr:from>
      <xdr:col>6</xdr:col>
      <xdr:colOff>15031</xdr:colOff>
      <xdr:row>36</xdr:row>
      <xdr:rowOff>188403</xdr:rowOff>
    </xdr:from>
    <xdr:to>
      <xdr:col>9</xdr:col>
      <xdr:colOff>7427</xdr:colOff>
      <xdr:row>38</xdr:row>
      <xdr:rowOff>15033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>
          <a:off x="4961347" y="9160099"/>
          <a:ext cx="2465554" cy="21282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fr-FR" sz="1100"/>
        </a:p>
      </xdr:txBody>
    </xdr:sp>
    <xdr:clientData/>
  </xdr:twoCellAnchor>
  <xdr:twoCellAnchor>
    <xdr:from>
      <xdr:col>5</xdr:col>
      <xdr:colOff>104775</xdr:colOff>
      <xdr:row>13</xdr:row>
      <xdr:rowOff>133350</xdr:rowOff>
    </xdr:from>
    <xdr:to>
      <xdr:col>6</xdr:col>
      <xdr:colOff>9525</xdr:colOff>
      <xdr:row>13</xdr:row>
      <xdr:rowOff>142875</xdr:rowOff>
    </xdr:to>
    <xdr:cxnSp macro="">
      <xdr:nvCxnSpPr>
        <xdr:cNvPr id="13" name="Connecteur droit avec flèch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 bwMode="auto">
        <a:xfrm flipV="1">
          <a:off x="3914775" y="2733675"/>
          <a:ext cx="666750" cy="9525"/>
        </a:xfrm>
        <a:prstGeom prst="straightConnector1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190500</xdr:colOff>
      <xdr:row>18</xdr:row>
      <xdr:rowOff>85725</xdr:rowOff>
    </xdr:from>
    <xdr:ext cx="1333500" cy="571408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524750" y="2943225"/>
          <a:ext cx="1333500" cy="5714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fr-FR" sz="1000" b="0" i="0" u="none" strike="noStrike">
              <a:solidFill>
                <a:schemeClr val="tx1"/>
              </a:solidFill>
              <a:latin typeface="+mn-lt"/>
              <a:ea typeface="+mn-ea"/>
              <a:cs typeface="+mn-cs"/>
            </a:rPr>
            <a:t>coût de production du cacao en poudre vendu</a:t>
          </a:r>
          <a:r>
            <a:rPr lang="fr-FR" sz="1000" b="0"/>
            <a:t> </a:t>
          </a:r>
        </a:p>
      </xdr:txBody>
    </xdr:sp>
    <xdr:clientData/>
  </xdr:oneCellAnchor>
  <xdr:twoCellAnchor>
    <xdr:from>
      <xdr:col>9</xdr:col>
      <xdr:colOff>3988</xdr:colOff>
      <xdr:row>18</xdr:row>
      <xdr:rowOff>78007</xdr:rowOff>
    </xdr:from>
    <xdr:to>
      <xdr:col>10</xdr:col>
      <xdr:colOff>190500</xdr:colOff>
      <xdr:row>20</xdr:row>
      <xdr:rowOff>72605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>
          <a:stCxn id="2" idx="1"/>
          <a:endCxn id="12" idx="3"/>
        </xdr:cNvCxnSpPr>
      </xdr:nvCxnSpPr>
      <xdr:spPr>
        <a:xfrm flipH="1" flipV="1">
          <a:off x="7522116" y="4166456"/>
          <a:ext cx="1021860" cy="293422"/>
        </a:xfrm>
        <a:prstGeom prst="straightConnector1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9525</xdr:colOff>
      <xdr:row>42</xdr:row>
      <xdr:rowOff>0</xdr:rowOff>
    </xdr:from>
    <xdr:ext cx="1571625" cy="561885"/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343775" y="6000750"/>
          <a:ext cx="1571625" cy="561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fr-FR" sz="1000"/>
            <a:t>coût de production des plaquettes de chocolat vendues</a:t>
          </a:r>
        </a:p>
      </xdr:txBody>
    </xdr:sp>
    <xdr:clientData/>
  </xdr:oneCellAnchor>
  <xdr:twoCellAnchor>
    <xdr:from>
      <xdr:col>9</xdr:col>
      <xdr:colOff>7791</xdr:colOff>
      <xdr:row>43</xdr:row>
      <xdr:rowOff>76757</xdr:rowOff>
    </xdr:from>
    <xdr:to>
      <xdr:col>10</xdr:col>
      <xdr:colOff>9525</xdr:colOff>
      <xdr:row>43</xdr:row>
      <xdr:rowOff>127667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>
          <a:cxnSpLocks/>
          <a:stCxn id="8" idx="1"/>
          <a:endCxn id="13" idx="3"/>
        </xdr:cNvCxnSpPr>
      </xdr:nvCxnSpPr>
      <xdr:spPr>
        <a:xfrm flipH="1" flipV="1">
          <a:off x="7545679" y="10483093"/>
          <a:ext cx="839277" cy="50910"/>
        </a:xfrm>
        <a:prstGeom prst="straightConnector1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42</xdr:row>
      <xdr:rowOff>136854</xdr:rowOff>
    </xdr:from>
    <xdr:to>
      <xdr:col>9</xdr:col>
      <xdr:colOff>7791</xdr:colOff>
      <xdr:row>44</xdr:row>
      <xdr:rowOff>16659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 bwMode="auto">
        <a:xfrm>
          <a:off x="5025259" y="10389914"/>
          <a:ext cx="2520420" cy="186357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fr-FR" sz="1100"/>
        </a:p>
      </xdr:txBody>
    </xdr:sp>
    <xdr:clientData/>
  </xdr:twoCellAnchor>
  <xdr:twoCellAnchor>
    <xdr:from>
      <xdr:col>6</xdr:col>
      <xdr:colOff>3989</xdr:colOff>
      <xdr:row>18</xdr:row>
      <xdr:rowOff>11779</xdr:rowOff>
    </xdr:from>
    <xdr:to>
      <xdr:col>9</xdr:col>
      <xdr:colOff>3988</xdr:colOff>
      <xdr:row>18</xdr:row>
      <xdr:rowOff>144234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5016075" y="4100228"/>
          <a:ext cx="2506041" cy="13245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fr-F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825500</xdr:colOff>
          <xdr:row>4</xdr:row>
          <xdr:rowOff>0</xdr:rowOff>
        </xdr:from>
        <xdr:to>
          <xdr:col>7</xdr:col>
          <xdr:colOff>698500</xdr:colOff>
          <xdr:row>5</xdr:row>
          <xdr:rowOff>127000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Recopie Modèle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O73"/>
  <sheetViews>
    <sheetView topLeftCell="A24" zoomScale="144" workbookViewId="0">
      <selection activeCell="M14" sqref="M14"/>
    </sheetView>
  </sheetViews>
  <sheetFormatPr baseColWidth="10" defaultColWidth="11.5" defaultRowHeight="11" x14ac:dyDescent="0.15"/>
  <cols>
    <col min="1" max="1" width="11" style="1" customWidth="1"/>
    <col min="2" max="2" width="14.1640625" style="1" customWidth="1"/>
    <col min="3" max="5" width="11.5" style="1" customWidth="1"/>
    <col min="6" max="6" width="12.5" style="1" customWidth="1"/>
    <col min="7" max="8" width="11.5" style="1" customWidth="1"/>
    <col min="9" max="9" width="12.6640625" style="1" customWidth="1"/>
    <col min="10" max="16384" width="11.5" style="1"/>
  </cols>
  <sheetData>
    <row r="1" spans="2:15" ht="16" customHeight="1" thickBot="1" x14ac:dyDescent="0.2"/>
    <row r="2" spans="2:15" ht="12" customHeight="1" thickBot="1" x14ac:dyDescent="0.2">
      <c r="B2" s="15" t="s">
        <v>0</v>
      </c>
      <c r="C2" s="51" t="s">
        <v>132</v>
      </c>
      <c r="E2" s="150" t="s">
        <v>133</v>
      </c>
      <c r="F2" s="150"/>
      <c r="H2" s="151" t="s">
        <v>134</v>
      </c>
      <c r="I2" s="151"/>
    </row>
    <row r="3" spans="2:15" ht="12" thickBot="1" x14ac:dyDescent="0.2"/>
    <row r="4" spans="2:15" x14ac:dyDescent="0.15">
      <c r="B4" s="9"/>
      <c r="C4" s="141" t="s">
        <v>16</v>
      </c>
      <c r="D4" s="141"/>
      <c r="E4" s="138" t="s">
        <v>15</v>
      </c>
      <c r="F4" s="138"/>
      <c r="G4" s="138"/>
      <c r="H4" s="138"/>
      <c r="I4" s="138"/>
      <c r="J4" s="138"/>
      <c r="K4" s="138"/>
      <c r="L4" s="138"/>
      <c r="M4" s="138"/>
      <c r="N4" s="138"/>
      <c r="O4" s="134" t="s">
        <v>136</v>
      </c>
    </row>
    <row r="5" spans="2:15" x14ac:dyDescent="0.15">
      <c r="B5" s="10"/>
      <c r="C5" s="142" t="s">
        <v>2</v>
      </c>
      <c r="D5" s="142" t="s">
        <v>3</v>
      </c>
      <c r="E5" s="140" t="s">
        <v>4</v>
      </c>
      <c r="F5" s="139" t="s">
        <v>14</v>
      </c>
      <c r="G5" s="139"/>
      <c r="H5" s="139"/>
      <c r="I5" s="139"/>
      <c r="J5" s="139"/>
      <c r="K5" s="139"/>
      <c r="L5" s="139"/>
      <c r="M5" s="139"/>
      <c r="N5" s="140" t="s">
        <v>13</v>
      </c>
      <c r="O5" s="135"/>
    </row>
    <row r="6" spans="2:15" ht="24" x14ac:dyDescent="0.15">
      <c r="B6" s="10"/>
      <c r="C6" s="142"/>
      <c r="D6" s="142"/>
      <c r="E6" s="140"/>
      <c r="F6" s="56" t="s">
        <v>5</v>
      </c>
      <c r="G6" s="56" t="s">
        <v>6</v>
      </c>
      <c r="H6" s="56" t="s">
        <v>7</v>
      </c>
      <c r="I6" s="56" t="s">
        <v>8</v>
      </c>
      <c r="J6" s="56" t="s">
        <v>9</v>
      </c>
      <c r="K6" s="56" t="s">
        <v>10</v>
      </c>
      <c r="L6" s="56" t="s">
        <v>11</v>
      </c>
      <c r="M6" s="56" t="s">
        <v>12</v>
      </c>
      <c r="N6" s="140"/>
      <c r="O6" s="135"/>
    </row>
    <row r="7" spans="2:15" ht="24" x14ac:dyDescent="0.15">
      <c r="B7" s="10" t="s">
        <v>1</v>
      </c>
      <c r="C7" s="54">
        <v>1250</v>
      </c>
      <c r="D7" s="54">
        <v>2275</v>
      </c>
      <c r="E7" s="54">
        <v>2920</v>
      </c>
      <c r="F7" s="54">
        <v>1008</v>
      </c>
      <c r="G7" s="54">
        <v>1170</v>
      </c>
      <c r="H7" s="54">
        <v>1710</v>
      </c>
      <c r="I7" s="54">
        <v>2530</v>
      </c>
      <c r="J7" s="54">
        <v>3125</v>
      </c>
      <c r="K7" s="54">
        <v>9950</v>
      </c>
      <c r="L7" s="54">
        <v>6880</v>
      </c>
      <c r="M7" s="54">
        <v>1810</v>
      </c>
      <c r="N7" s="54">
        <v>3062</v>
      </c>
      <c r="O7" s="93">
        <v>4710</v>
      </c>
    </row>
    <row r="8" spans="2:15" ht="12" x14ac:dyDescent="0.15">
      <c r="B8" s="10" t="s">
        <v>2</v>
      </c>
      <c r="C8" s="35"/>
      <c r="D8" s="35">
        <v>0.15</v>
      </c>
      <c r="E8" s="35"/>
      <c r="F8" s="35">
        <v>0.05</v>
      </c>
      <c r="G8" s="35">
        <v>0.05</v>
      </c>
      <c r="H8" s="35">
        <v>0.1</v>
      </c>
      <c r="I8" s="35">
        <v>0.2</v>
      </c>
      <c r="J8" s="35">
        <v>0.1</v>
      </c>
      <c r="K8" s="35">
        <v>0.2</v>
      </c>
      <c r="L8" s="35">
        <v>0.05</v>
      </c>
      <c r="M8" s="35">
        <v>0.05</v>
      </c>
      <c r="N8" s="35"/>
      <c r="O8" s="36">
        <v>0.05</v>
      </c>
    </row>
    <row r="9" spans="2:15" ht="12" x14ac:dyDescent="0.15">
      <c r="B9" s="10" t="s">
        <v>3</v>
      </c>
      <c r="C9" s="35">
        <v>0.1</v>
      </c>
      <c r="D9" s="35"/>
      <c r="E9" s="35">
        <v>0.3</v>
      </c>
      <c r="F9" s="35"/>
      <c r="G9" s="35"/>
      <c r="H9" s="35"/>
      <c r="I9" s="35"/>
      <c r="J9" s="35"/>
      <c r="K9" s="35"/>
      <c r="L9" s="35"/>
      <c r="M9" s="35">
        <v>0.2</v>
      </c>
      <c r="N9" s="35">
        <v>0.4</v>
      </c>
      <c r="O9" s="36"/>
    </row>
    <row r="10" spans="2:15" ht="37" thickBot="1" x14ac:dyDescent="0.2">
      <c r="B10" s="11" t="s">
        <v>111</v>
      </c>
      <c r="C10" s="7"/>
      <c r="D10" s="7"/>
      <c r="E10" s="7" t="s">
        <v>17</v>
      </c>
      <c r="F10" s="7" t="s">
        <v>18</v>
      </c>
      <c r="G10" s="7" t="s">
        <v>19</v>
      </c>
      <c r="H10" s="7" t="s">
        <v>20</v>
      </c>
      <c r="I10" s="7" t="s">
        <v>21</v>
      </c>
      <c r="J10" s="7" t="s">
        <v>20</v>
      </c>
      <c r="K10" s="7" t="s">
        <v>20</v>
      </c>
      <c r="L10" s="7" t="s">
        <v>20</v>
      </c>
      <c r="M10" s="7" t="s">
        <v>104</v>
      </c>
      <c r="N10" s="7" t="s">
        <v>105</v>
      </c>
      <c r="O10" s="12" t="s">
        <v>112</v>
      </c>
    </row>
    <row r="11" spans="2:15" x14ac:dyDescent="0.1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</row>
    <row r="12" spans="2:15" ht="12" thickBot="1" x14ac:dyDescent="0.2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2:15" ht="15" x14ac:dyDescent="0.2">
      <c r="B13" s="143" t="s">
        <v>42</v>
      </c>
      <c r="C13" s="144"/>
      <c r="D13" s="16"/>
      <c r="E13" s="18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5" ht="12" x14ac:dyDescent="0.15">
      <c r="B14" s="10"/>
      <c r="C14" s="2" t="s">
        <v>23</v>
      </c>
      <c r="D14" s="2" t="s">
        <v>117</v>
      </c>
      <c r="E14" s="6"/>
      <c r="F14" s="5"/>
      <c r="G14" s="5"/>
      <c r="H14" s="5"/>
      <c r="I14" s="5"/>
      <c r="J14" s="5"/>
      <c r="K14" s="5"/>
      <c r="L14" s="5"/>
      <c r="M14" s="5"/>
      <c r="N14" s="5"/>
      <c r="O14" s="5"/>
    </row>
    <row r="15" spans="2:15" ht="12" x14ac:dyDescent="0.15">
      <c r="B15" s="59" t="s">
        <v>22</v>
      </c>
      <c r="C15" s="128">
        <v>500</v>
      </c>
      <c r="D15" s="129">
        <v>1.98</v>
      </c>
      <c r="E15" s="6"/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2:15" ht="12" x14ac:dyDescent="0.15">
      <c r="B16" s="61" t="s">
        <v>25</v>
      </c>
      <c r="C16" s="128">
        <v>125</v>
      </c>
      <c r="D16" s="129">
        <v>0.43</v>
      </c>
      <c r="E16" s="6"/>
      <c r="F16" s="5"/>
      <c r="G16" s="5"/>
      <c r="H16" s="5"/>
      <c r="I16" s="5"/>
      <c r="J16" s="5"/>
      <c r="K16" s="5"/>
      <c r="L16" s="5"/>
      <c r="M16" s="5"/>
      <c r="N16" s="5"/>
      <c r="O16" s="5"/>
    </row>
    <row r="17" spans="2:15" x14ac:dyDescent="0.15">
      <c r="B17" s="4"/>
      <c r="C17" s="5"/>
      <c r="D17" s="5"/>
      <c r="E17" s="6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2:15" ht="12" x14ac:dyDescent="0.15">
      <c r="B18" s="10"/>
      <c r="C18" s="2" t="s">
        <v>23</v>
      </c>
      <c r="D18" s="2" t="s">
        <v>117</v>
      </c>
      <c r="E18" s="3" t="s">
        <v>43</v>
      </c>
      <c r="F18" s="5"/>
      <c r="G18" s="5"/>
      <c r="H18" s="5"/>
      <c r="I18" s="5"/>
      <c r="J18" s="5"/>
      <c r="K18" s="5"/>
      <c r="L18" s="5"/>
      <c r="M18" s="5"/>
      <c r="N18" s="5"/>
      <c r="O18" s="5"/>
    </row>
    <row r="19" spans="2:15" ht="12" x14ac:dyDescent="0.15">
      <c r="B19" s="68" t="s">
        <v>35</v>
      </c>
      <c r="C19" s="128">
        <v>80</v>
      </c>
      <c r="D19" s="129">
        <v>4.9000000000000004</v>
      </c>
      <c r="E19" s="92">
        <f>C19*D19</f>
        <v>392</v>
      </c>
      <c r="F19" s="5"/>
      <c r="G19" s="5"/>
      <c r="H19" s="5"/>
      <c r="I19" s="5"/>
      <c r="J19" s="5"/>
      <c r="K19" s="5"/>
      <c r="L19" s="5"/>
      <c r="M19" s="5"/>
      <c r="N19" s="5"/>
      <c r="O19" s="5"/>
    </row>
    <row r="20" spans="2:15" x14ac:dyDescent="0.15">
      <c r="B20" s="4"/>
      <c r="C20" s="5"/>
      <c r="D20" s="5"/>
      <c r="E20" s="6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2:15" ht="24" x14ac:dyDescent="0.15">
      <c r="B21" s="10"/>
      <c r="C21" s="2" t="s">
        <v>130</v>
      </c>
      <c r="D21" s="2" t="s">
        <v>117</v>
      </c>
      <c r="E21" s="3" t="s">
        <v>43</v>
      </c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2:15" ht="12" x14ac:dyDescent="0.15">
      <c r="B22" s="71" t="s">
        <v>34</v>
      </c>
      <c r="C22" s="130">
        <v>270</v>
      </c>
      <c r="D22" s="87">
        <f>E22/C22</f>
        <v>1.9</v>
      </c>
      <c r="E22" s="131">
        <v>513</v>
      </c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5" x14ac:dyDescent="0.15">
      <c r="B23" s="4"/>
      <c r="C23" s="5"/>
      <c r="D23" s="5"/>
      <c r="E23" s="6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2:15" ht="24" x14ac:dyDescent="0.15">
      <c r="B24" s="10"/>
      <c r="C24" s="2" t="s">
        <v>131</v>
      </c>
      <c r="D24" s="2" t="s">
        <v>117</v>
      </c>
      <c r="E24" s="3" t="s">
        <v>43</v>
      </c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2:15" ht="13" thickBot="1" x14ac:dyDescent="0.2">
      <c r="B25" s="73" t="s">
        <v>106</v>
      </c>
      <c r="C25" s="133">
        <v>320</v>
      </c>
      <c r="D25" s="94">
        <f>E25/C25</f>
        <v>1.26</v>
      </c>
      <c r="E25" s="132">
        <v>403.2</v>
      </c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2:15" x14ac:dyDescent="0.15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7" spans="2:15" ht="12" thickBot="1" x14ac:dyDescent="0.2"/>
    <row r="28" spans="2:15" ht="11" customHeight="1" x14ac:dyDescent="0.15">
      <c r="B28" s="147" t="s">
        <v>26</v>
      </c>
      <c r="C28" s="148"/>
      <c r="D28" s="148"/>
      <c r="E28" s="148"/>
      <c r="F28" s="149"/>
    </row>
    <row r="29" spans="2:15" ht="12" x14ac:dyDescent="0.15">
      <c r="B29" s="145" t="s">
        <v>22</v>
      </c>
      <c r="C29" s="2" t="s">
        <v>128</v>
      </c>
      <c r="D29" s="2" t="s">
        <v>129</v>
      </c>
      <c r="E29" s="45" t="s">
        <v>23</v>
      </c>
      <c r="F29" s="3" t="s">
        <v>24</v>
      </c>
    </row>
    <row r="30" spans="2:15" x14ac:dyDescent="0.15">
      <c r="B30" s="146"/>
      <c r="C30" s="113">
        <v>50</v>
      </c>
      <c r="D30" s="49">
        <v>152</v>
      </c>
      <c r="E30" s="115">
        <f>C30*D30</f>
        <v>7600</v>
      </c>
      <c r="F30" s="93">
        <v>1.25</v>
      </c>
    </row>
    <row r="31" spans="2:15" x14ac:dyDescent="0.15">
      <c r="B31" s="4"/>
      <c r="C31" s="5"/>
      <c r="D31" s="5"/>
      <c r="E31" s="5"/>
      <c r="F31" s="46"/>
    </row>
    <row r="32" spans="2:15" ht="12" x14ac:dyDescent="0.15">
      <c r="B32" s="136" t="s">
        <v>25</v>
      </c>
      <c r="C32" s="2" t="s">
        <v>23</v>
      </c>
      <c r="D32" s="2" t="s">
        <v>24</v>
      </c>
      <c r="E32" s="5"/>
      <c r="F32" s="6"/>
    </row>
    <row r="33" spans="2:10" ht="12" thickBot="1" x14ac:dyDescent="0.2">
      <c r="B33" s="137"/>
      <c r="C33" s="114">
        <v>975</v>
      </c>
      <c r="D33" s="96">
        <v>0.3</v>
      </c>
      <c r="E33" s="17"/>
      <c r="F33" s="8"/>
    </row>
    <row r="34" spans="2:10" x14ac:dyDescent="0.15">
      <c r="B34" s="29"/>
      <c r="C34" s="5"/>
      <c r="D34" s="5"/>
      <c r="E34" s="5"/>
    </row>
    <row r="35" spans="2:10" ht="12" thickBot="1" x14ac:dyDescent="0.2"/>
    <row r="36" spans="2:10" ht="12" thickBot="1" x14ac:dyDescent="0.2">
      <c r="B36" s="157" t="s">
        <v>27</v>
      </c>
      <c r="C36" s="158"/>
      <c r="D36" s="158"/>
      <c r="E36" s="159"/>
      <c r="F36" s="16"/>
      <c r="G36" s="16"/>
      <c r="H36" s="157" t="s">
        <v>28</v>
      </c>
      <c r="I36" s="158"/>
      <c r="J36" s="159"/>
    </row>
    <row r="37" spans="2:10" ht="12" thickBot="1" x14ac:dyDescent="0.2">
      <c r="B37" s="4"/>
      <c r="C37" s="5"/>
      <c r="D37" s="5"/>
      <c r="E37" s="5"/>
      <c r="F37" s="5"/>
      <c r="G37" s="5"/>
      <c r="H37" s="5"/>
      <c r="I37" s="5"/>
      <c r="J37" s="6"/>
    </row>
    <row r="38" spans="2:10" ht="12" x14ac:dyDescent="0.15">
      <c r="B38" s="9"/>
      <c r="C38" s="14" t="s">
        <v>23</v>
      </c>
      <c r="D38" s="5"/>
      <c r="E38" s="5"/>
      <c r="F38" s="5"/>
      <c r="G38" s="5"/>
      <c r="H38" s="9"/>
      <c r="I38" s="14" t="s">
        <v>23</v>
      </c>
      <c r="J38" s="6"/>
    </row>
    <row r="39" spans="2:10" ht="13" thickBot="1" x14ac:dyDescent="0.2">
      <c r="B39" s="60" t="s">
        <v>22</v>
      </c>
      <c r="C39" s="103">
        <v>8000</v>
      </c>
      <c r="D39" s="5"/>
      <c r="E39" s="5"/>
      <c r="F39" s="5"/>
      <c r="G39" s="5"/>
      <c r="H39" s="74" t="s">
        <v>29</v>
      </c>
      <c r="I39" s="100">
        <f>C39-(C39*0.2)</f>
        <v>6400</v>
      </c>
      <c r="J39" s="6"/>
    </row>
    <row r="40" spans="2:10" ht="12" thickBot="1" x14ac:dyDescent="0.2">
      <c r="B40" s="4"/>
      <c r="C40" s="5"/>
      <c r="D40" s="5"/>
      <c r="E40" s="5"/>
      <c r="F40" s="5"/>
      <c r="G40" s="5"/>
      <c r="H40" s="5"/>
      <c r="I40" s="5"/>
      <c r="J40" s="6"/>
    </row>
    <row r="41" spans="2:10" ht="24" customHeight="1" x14ac:dyDescent="0.15">
      <c r="B41" s="9"/>
      <c r="C41" s="13" t="s">
        <v>30</v>
      </c>
      <c r="D41" s="160" t="s">
        <v>31</v>
      </c>
      <c r="E41" s="161"/>
      <c r="F41" s="5"/>
      <c r="G41" s="5"/>
      <c r="H41" s="9"/>
      <c r="I41" s="13" t="s">
        <v>32</v>
      </c>
      <c r="J41" s="14" t="s">
        <v>33</v>
      </c>
    </row>
    <row r="42" spans="2:10" ht="13" thickBot="1" x14ac:dyDescent="0.2">
      <c r="B42" s="75" t="s">
        <v>29</v>
      </c>
      <c r="C42" s="102">
        <f>I39*0.5</f>
        <v>3200</v>
      </c>
      <c r="D42" s="162">
        <f>I39*0.5</f>
        <v>3200</v>
      </c>
      <c r="E42" s="163"/>
      <c r="F42" s="5"/>
      <c r="G42" s="5"/>
      <c r="H42" s="71" t="s">
        <v>34</v>
      </c>
      <c r="I42" s="101">
        <f>D42*0.5</f>
        <v>1600</v>
      </c>
      <c r="J42" s="47">
        <f>I42/0.25</f>
        <v>6400</v>
      </c>
    </row>
    <row r="43" spans="2:10" ht="13" thickBot="1" x14ac:dyDescent="0.2">
      <c r="B43" s="4"/>
      <c r="C43" s="5"/>
      <c r="D43" s="5"/>
      <c r="E43" s="5"/>
      <c r="F43" s="5"/>
      <c r="G43" s="5"/>
      <c r="H43" s="69" t="s">
        <v>35</v>
      </c>
      <c r="I43" s="102">
        <f>D42*0.5</f>
        <v>1600</v>
      </c>
      <c r="J43" s="67"/>
    </row>
    <row r="44" spans="2:10" ht="13" thickBot="1" x14ac:dyDescent="0.2">
      <c r="B44" s="9"/>
      <c r="C44" s="14" t="s">
        <v>23</v>
      </c>
      <c r="D44" s="5"/>
      <c r="E44" s="5"/>
      <c r="F44" s="5"/>
      <c r="G44" s="5"/>
      <c r="H44" s="5"/>
      <c r="I44" s="5"/>
      <c r="J44" s="6"/>
    </row>
    <row r="45" spans="2:10" ht="24" x14ac:dyDescent="0.15">
      <c r="B45" s="68" t="s">
        <v>35</v>
      </c>
      <c r="C45" s="104">
        <v>1480</v>
      </c>
      <c r="D45" s="5"/>
      <c r="E45" s="5"/>
      <c r="F45" s="5"/>
      <c r="G45" s="5"/>
      <c r="H45" s="9"/>
      <c r="I45" s="13" t="s">
        <v>32</v>
      </c>
      <c r="J45" s="14" t="s">
        <v>107</v>
      </c>
    </row>
    <row r="46" spans="2:10" ht="13" thickBot="1" x14ac:dyDescent="0.2">
      <c r="B46" s="62" t="s">
        <v>25</v>
      </c>
      <c r="C46" s="103">
        <v>1025</v>
      </c>
      <c r="D46" s="5"/>
      <c r="E46" s="5"/>
      <c r="F46" s="5"/>
      <c r="G46" s="5"/>
      <c r="H46" s="72" t="s">
        <v>36</v>
      </c>
      <c r="I46" s="102">
        <f>C42+C45+C46</f>
        <v>5705</v>
      </c>
      <c r="J46" s="48">
        <f>I46/0.125</f>
        <v>45640</v>
      </c>
    </row>
    <row r="47" spans="2:10" ht="12" thickBot="1" x14ac:dyDescent="0.2">
      <c r="B47" s="4"/>
      <c r="C47" s="5"/>
      <c r="D47" s="5"/>
      <c r="E47" s="5"/>
      <c r="F47" s="5"/>
      <c r="G47" s="5"/>
      <c r="H47" s="5"/>
      <c r="I47" s="5"/>
      <c r="J47" s="6"/>
    </row>
    <row r="48" spans="2:10" ht="24" x14ac:dyDescent="0.15">
      <c r="B48" s="9"/>
      <c r="C48" s="13" t="s">
        <v>40</v>
      </c>
      <c r="D48" s="14" t="s">
        <v>41</v>
      </c>
      <c r="E48" s="5"/>
      <c r="F48" s="5"/>
      <c r="G48" s="5"/>
      <c r="H48" s="5"/>
      <c r="I48" s="5"/>
      <c r="J48" s="6"/>
    </row>
    <row r="49" spans="2:10" ht="12" x14ac:dyDescent="0.15">
      <c r="B49" s="10" t="s">
        <v>37</v>
      </c>
      <c r="C49" s="54">
        <v>120</v>
      </c>
      <c r="D49" s="33"/>
      <c r="E49" s="5"/>
      <c r="F49" s="5"/>
      <c r="G49" s="5"/>
      <c r="H49" s="5"/>
      <c r="I49" s="5"/>
      <c r="J49" s="6"/>
    </row>
    <row r="50" spans="2:10" ht="12" x14ac:dyDescent="0.15">
      <c r="B50" s="10" t="s">
        <v>38</v>
      </c>
      <c r="C50" s="32"/>
      <c r="D50" s="93">
        <v>1205</v>
      </c>
      <c r="E50" s="5"/>
      <c r="F50" s="5"/>
      <c r="G50" s="5"/>
      <c r="H50" s="5"/>
      <c r="I50" s="5"/>
      <c r="J50" s="6"/>
    </row>
    <row r="51" spans="2:10" ht="13" thickBot="1" x14ac:dyDescent="0.2">
      <c r="B51" s="11" t="s">
        <v>39</v>
      </c>
      <c r="C51" s="96">
        <v>555</v>
      </c>
      <c r="D51" s="95">
        <v>4010</v>
      </c>
      <c r="E51" s="17"/>
      <c r="F51" s="17"/>
      <c r="G51" s="17"/>
      <c r="H51" s="17"/>
      <c r="I51" s="17"/>
      <c r="J51" s="8"/>
    </row>
    <row r="53" spans="2:10" ht="12" thickBot="1" x14ac:dyDescent="0.2"/>
    <row r="54" spans="2:10" ht="22.5" customHeight="1" x14ac:dyDescent="0.15">
      <c r="B54" s="164" t="s">
        <v>50</v>
      </c>
      <c r="C54" s="155"/>
      <c r="D54" s="16"/>
      <c r="E54" s="16"/>
      <c r="F54" s="16"/>
      <c r="G54" s="16"/>
      <c r="H54" s="16"/>
      <c r="I54" s="155" t="s">
        <v>65</v>
      </c>
      <c r="J54" s="156"/>
    </row>
    <row r="55" spans="2:10" ht="12" x14ac:dyDescent="0.15">
      <c r="B55" s="10"/>
      <c r="C55" s="2" t="s">
        <v>51</v>
      </c>
      <c r="D55" s="2" t="s">
        <v>52</v>
      </c>
      <c r="E55" s="5"/>
      <c r="F55" s="5"/>
      <c r="G55" s="5"/>
      <c r="H55" s="5"/>
      <c r="I55" s="2"/>
      <c r="J55" s="3" t="s">
        <v>66</v>
      </c>
    </row>
    <row r="56" spans="2:10" ht="12" x14ac:dyDescent="0.15">
      <c r="B56" s="10" t="s">
        <v>53</v>
      </c>
      <c r="C56" s="53">
        <v>95</v>
      </c>
      <c r="D56" s="54">
        <v>13.5</v>
      </c>
      <c r="E56" s="5"/>
      <c r="F56" s="5"/>
      <c r="G56" s="5"/>
      <c r="H56" s="5"/>
      <c r="I56" s="2" t="s">
        <v>54</v>
      </c>
      <c r="J56" s="55">
        <v>120</v>
      </c>
    </row>
    <row r="57" spans="2:10" ht="12" x14ac:dyDescent="0.15">
      <c r="B57" s="10" t="s">
        <v>55</v>
      </c>
      <c r="C57" s="53">
        <v>90</v>
      </c>
      <c r="D57" s="54">
        <v>13.5</v>
      </c>
      <c r="E57" s="5"/>
      <c r="F57" s="5"/>
      <c r="G57" s="5"/>
      <c r="H57" s="5"/>
      <c r="I57" s="2" t="s">
        <v>57</v>
      </c>
      <c r="J57" s="55">
        <v>115</v>
      </c>
    </row>
    <row r="58" spans="2:10" ht="13.5" customHeight="1" x14ac:dyDescent="0.15">
      <c r="B58" s="10" t="s">
        <v>54</v>
      </c>
      <c r="C58" s="53">
        <v>90</v>
      </c>
      <c r="D58" s="54">
        <v>13.5</v>
      </c>
      <c r="E58" s="5"/>
      <c r="F58" s="5"/>
      <c r="G58" s="5"/>
      <c r="H58" s="5"/>
      <c r="I58" s="2" t="s">
        <v>58</v>
      </c>
      <c r="J58" s="55">
        <v>250</v>
      </c>
    </row>
    <row r="59" spans="2:10" ht="12" customHeight="1" x14ac:dyDescent="0.15">
      <c r="B59" s="10" t="s">
        <v>56</v>
      </c>
      <c r="C59" s="53">
        <v>165</v>
      </c>
      <c r="D59" s="54">
        <v>17.2</v>
      </c>
      <c r="E59" s="5"/>
      <c r="F59" s="153" t="s">
        <v>61</v>
      </c>
      <c r="G59" s="154"/>
      <c r="H59" s="5"/>
      <c r="I59" s="2" t="s">
        <v>59</v>
      </c>
      <c r="J59" s="55">
        <v>210</v>
      </c>
    </row>
    <row r="60" spans="2:10" ht="13.5" customHeight="1" x14ac:dyDescent="0.15">
      <c r="B60" s="10" t="s">
        <v>57</v>
      </c>
      <c r="C60" s="53">
        <v>85</v>
      </c>
      <c r="D60" s="54">
        <v>11.7</v>
      </c>
      <c r="E60" s="5"/>
      <c r="F60" s="70" t="s">
        <v>35</v>
      </c>
      <c r="G60" s="2" t="s">
        <v>62</v>
      </c>
      <c r="H60" s="5"/>
      <c r="I60" s="5"/>
      <c r="J60" s="6"/>
    </row>
    <row r="61" spans="2:10" ht="12" x14ac:dyDescent="0.15">
      <c r="B61" s="10" t="s">
        <v>58</v>
      </c>
      <c r="C61" s="53">
        <v>120</v>
      </c>
      <c r="D61" s="54">
        <v>19.5</v>
      </c>
      <c r="E61" s="5"/>
      <c r="F61" s="53">
        <v>85</v>
      </c>
      <c r="G61" s="53">
        <v>80</v>
      </c>
      <c r="H61" s="5"/>
      <c r="I61" s="5"/>
      <c r="J61" s="6"/>
    </row>
    <row r="62" spans="2:10" ht="12" x14ac:dyDescent="0.15">
      <c r="B62" s="10" t="s">
        <v>59</v>
      </c>
      <c r="C62" s="53">
        <v>90</v>
      </c>
      <c r="D62" s="54">
        <v>11.7</v>
      </c>
      <c r="E62" s="5"/>
      <c r="F62" s="5"/>
      <c r="G62" s="5"/>
      <c r="H62" s="5"/>
      <c r="I62" s="5"/>
      <c r="J62" s="6"/>
    </row>
    <row r="63" spans="2:10" ht="14" customHeight="1" x14ac:dyDescent="0.15">
      <c r="B63" s="10" t="s">
        <v>60</v>
      </c>
      <c r="C63" s="53">
        <v>150</v>
      </c>
      <c r="D63" s="54">
        <v>13.5</v>
      </c>
      <c r="E63" s="5"/>
      <c r="F63" s="153" t="s">
        <v>63</v>
      </c>
      <c r="G63" s="154"/>
      <c r="H63" s="5"/>
      <c r="I63" s="5"/>
      <c r="J63" s="6"/>
    </row>
    <row r="64" spans="2:10" ht="12" x14ac:dyDescent="0.15">
      <c r="B64" s="4"/>
      <c r="C64" s="5"/>
      <c r="D64" s="5"/>
      <c r="E64" s="5"/>
      <c r="F64" s="76" t="s">
        <v>36</v>
      </c>
      <c r="G64" s="77" t="s">
        <v>64</v>
      </c>
      <c r="H64" s="5"/>
      <c r="I64" s="5"/>
      <c r="J64" s="6"/>
    </row>
    <row r="65" spans="2:10" ht="12" thickBot="1" x14ac:dyDescent="0.2">
      <c r="B65" s="19"/>
      <c r="C65" s="17"/>
      <c r="D65" s="17"/>
      <c r="E65" s="17"/>
      <c r="F65" s="52">
        <v>120</v>
      </c>
      <c r="G65" s="52">
        <v>30</v>
      </c>
      <c r="H65" s="17"/>
      <c r="I65" s="17"/>
      <c r="J65" s="8"/>
    </row>
    <row r="67" spans="2:10" ht="12" thickBot="1" x14ac:dyDescent="0.2"/>
    <row r="68" spans="2:10" x14ac:dyDescent="0.15">
      <c r="B68" s="143" t="s">
        <v>44</v>
      </c>
      <c r="C68" s="152"/>
      <c r="D68" s="16"/>
      <c r="E68" s="18"/>
    </row>
    <row r="69" spans="2:10" ht="24" x14ac:dyDescent="0.15">
      <c r="B69" s="10"/>
      <c r="C69" s="2" t="s">
        <v>45</v>
      </c>
      <c r="D69" s="2" t="s">
        <v>46</v>
      </c>
      <c r="E69" s="3" t="s">
        <v>47</v>
      </c>
    </row>
    <row r="70" spans="2:10" ht="12" x14ac:dyDescent="0.15">
      <c r="B70" s="71" t="s">
        <v>48</v>
      </c>
      <c r="C70" s="49">
        <v>6570</v>
      </c>
      <c r="D70" s="54">
        <v>9.8000000000000007</v>
      </c>
      <c r="E70" s="92">
        <f>D70*0.25</f>
        <v>2.4500000000000002</v>
      </c>
    </row>
    <row r="71" spans="2:10" x14ac:dyDescent="0.15">
      <c r="B71" s="4"/>
      <c r="C71" s="5"/>
      <c r="D71" s="5"/>
      <c r="E71" s="6"/>
    </row>
    <row r="72" spans="2:10" ht="24" x14ac:dyDescent="0.15">
      <c r="B72" s="10"/>
      <c r="C72" s="2" t="s">
        <v>108</v>
      </c>
      <c r="D72" s="2" t="s">
        <v>46</v>
      </c>
      <c r="E72" s="3" t="s">
        <v>100</v>
      </c>
    </row>
    <row r="73" spans="2:10" ht="13" thickBot="1" x14ac:dyDescent="0.2">
      <c r="B73" s="72" t="s">
        <v>49</v>
      </c>
      <c r="C73" s="50">
        <v>45345</v>
      </c>
      <c r="D73" s="96">
        <v>10.8</v>
      </c>
      <c r="E73" s="97">
        <f>D73*0.125</f>
        <v>1.35</v>
      </c>
    </row>
  </sheetData>
  <mergeCells count="23">
    <mergeCell ref="E2:F2"/>
    <mergeCell ref="H2:I2"/>
    <mergeCell ref="B68:C68"/>
    <mergeCell ref="F63:G63"/>
    <mergeCell ref="I54:J54"/>
    <mergeCell ref="H36:J36"/>
    <mergeCell ref="D41:E41"/>
    <mergeCell ref="D42:E42"/>
    <mergeCell ref="B36:E36"/>
    <mergeCell ref="B54:C54"/>
    <mergeCell ref="F59:G59"/>
    <mergeCell ref="O4:O6"/>
    <mergeCell ref="B32:B33"/>
    <mergeCell ref="E4:N4"/>
    <mergeCell ref="F5:M5"/>
    <mergeCell ref="E5:E6"/>
    <mergeCell ref="C4:D4"/>
    <mergeCell ref="C5:C6"/>
    <mergeCell ref="B13:C13"/>
    <mergeCell ref="N5:N6"/>
    <mergeCell ref="B29:B30"/>
    <mergeCell ref="D5:D6"/>
    <mergeCell ref="B28:F28"/>
  </mergeCells>
  <phoneticPr fontId="0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O13"/>
  <sheetViews>
    <sheetView workbookViewId="0">
      <selection activeCell="Q26" sqref="Q26"/>
    </sheetView>
  </sheetViews>
  <sheetFormatPr baseColWidth="10" defaultColWidth="10.83203125" defaultRowHeight="15" x14ac:dyDescent="0.2"/>
  <sheetData>
    <row r="2" spans="2:15" x14ac:dyDescent="0.2">
      <c r="B2" s="21" t="s">
        <v>88</v>
      </c>
      <c r="C2" s="21" t="str">
        <f>'Couts d''achat et stocks MP'!C2</f>
        <v>Mai</v>
      </c>
    </row>
    <row r="3" spans="2:15" ht="16" thickBot="1" x14ac:dyDescent="0.25"/>
    <row r="4" spans="2:15" x14ac:dyDescent="0.2">
      <c r="B4" s="9"/>
      <c r="C4" s="141" t="s">
        <v>16</v>
      </c>
      <c r="D4" s="141"/>
      <c r="E4" s="138" t="s">
        <v>15</v>
      </c>
      <c r="F4" s="138"/>
      <c r="G4" s="138"/>
      <c r="H4" s="138"/>
      <c r="I4" s="138"/>
      <c r="J4" s="138"/>
      <c r="K4" s="138"/>
      <c r="L4" s="138"/>
      <c r="M4" s="138"/>
      <c r="N4" s="138"/>
      <c r="O4" s="134" t="s">
        <v>136</v>
      </c>
    </row>
    <row r="5" spans="2:15" x14ac:dyDescent="0.2">
      <c r="B5" s="10"/>
      <c r="C5" s="142" t="s">
        <v>2</v>
      </c>
      <c r="D5" s="142" t="s">
        <v>3</v>
      </c>
      <c r="E5" s="140" t="s">
        <v>4</v>
      </c>
      <c r="F5" s="139" t="s">
        <v>14</v>
      </c>
      <c r="G5" s="139"/>
      <c r="H5" s="139"/>
      <c r="I5" s="139"/>
      <c r="J5" s="139"/>
      <c r="K5" s="139"/>
      <c r="L5" s="139"/>
      <c r="M5" s="139"/>
      <c r="N5" s="140" t="s">
        <v>13</v>
      </c>
      <c r="O5" s="135"/>
    </row>
    <row r="6" spans="2:15" ht="25" x14ac:dyDescent="0.2">
      <c r="B6" s="10"/>
      <c r="C6" s="142"/>
      <c r="D6" s="142"/>
      <c r="E6" s="140"/>
      <c r="F6" s="56" t="s">
        <v>5</v>
      </c>
      <c r="G6" s="56" t="s">
        <v>6</v>
      </c>
      <c r="H6" s="56" t="s">
        <v>7</v>
      </c>
      <c r="I6" s="56" t="s">
        <v>8</v>
      </c>
      <c r="J6" s="56" t="s">
        <v>9</v>
      </c>
      <c r="K6" s="56" t="s">
        <v>10</v>
      </c>
      <c r="L6" s="56" t="s">
        <v>11</v>
      </c>
      <c r="M6" s="56" t="s">
        <v>12</v>
      </c>
      <c r="N6" s="140"/>
      <c r="O6" s="135"/>
    </row>
    <row r="7" spans="2:15" ht="37" x14ac:dyDescent="0.2">
      <c r="B7" s="10" t="s">
        <v>1</v>
      </c>
      <c r="C7" s="105">
        <f>'Donnees a saisir'!C7</f>
        <v>1250</v>
      </c>
      <c r="D7" s="105">
        <f>'Donnees a saisir'!D7</f>
        <v>2275</v>
      </c>
      <c r="E7" s="105">
        <f>'Donnees a saisir'!E7</f>
        <v>2920</v>
      </c>
      <c r="F7" s="105">
        <f>'Donnees a saisir'!F7</f>
        <v>1008</v>
      </c>
      <c r="G7" s="105">
        <f>'Donnees a saisir'!G7</f>
        <v>1170</v>
      </c>
      <c r="H7" s="105">
        <f>'Donnees a saisir'!H7</f>
        <v>1710</v>
      </c>
      <c r="I7" s="105">
        <f>'Donnees a saisir'!I7</f>
        <v>2530</v>
      </c>
      <c r="J7" s="105">
        <f>'Donnees a saisir'!J7</f>
        <v>3125</v>
      </c>
      <c r="K7" s="105">
        <f>'Donnees a saisir'!K7</f>
        <v>9950</v>
      </c>
      <c r="L7" s="105">
        <f>'Donnees a saisir'!L7</f>
        <v>6880</v>
      </c>
      <c r="M7" s="105">
        <f>'Donnees a saisir'!M7</f>
        <v>1810</v>
      </c>
      <c r="N7" s="105">
        <f>'Donnees a saisir'!N7</f>
        <v>3062</v>
      </c>
      <c r="O7" s="105">
        <f>'Donnees a saisir'!O7</f>
        <v>4710</v>
      </c>
    </row>
    <row r="8" spans="2:15" x14ac:dyDescent="0.2">
      <c r="B8" s="10" t="s">
        <v>2</v>
      </c>
      <c r="C8" s="106">
        <f ca="1">C7+C9</f>
        <v>1500</v>
      </c>
      <c r="D8" s="107">
        <f ca="1">'Donnees a saisir'!D8*C8</f>
        <v>225</v>
      </c>
      <c r="E8" s="106">
        <f ca="1">'Donnees a saisir'!E8*$C$8</f>
        <v>0</v>
      </c>
      <c r="F8" s="106">
        <f ca="1">'Donnees a saisir'!F8*$C$8</f>
        <v>75</v>
      </c>
      <c r="G8" s="106">
        <f ca="1">'Donnees a saisir'!G8*$C$8</f>
        <v>75</v>
      </c>
      <c r="H8" s="106">
        <f ca="1">'Donnees a saisir'!H8*$C$8</f>
        <v>150</v>
      </c>
      <c r="I8" s="106">
        <f ca="1">'Donnees a saisir'!I8*$C$8</f>
        <v>300</v>
      </c>
      <c r="J8" s="106">
        <f ca="1">'Donnees a saisir'!J8*$C$8</f>
        <v>150</v>
      </c>
      <c r="K8" s="106">
        <f ca="1">'Donnees a saisir'!K8*$C$8</f>
        <v>300</v>
      </c>
      <c r="L8" s="106">
        <f ca="1">'Donnees a saisir'!L8*$C$8</f>
        <v>75</v>
      </c>
      <c r="M8" s="106">
        <f ca="1">'Donnees a saisir'!M8*$C$8</f>
        <v>75</v>
      </c>
      <c r="N8" s="108">
        <f ca="1">'Donnees a saisir'!N8*$C$8</f>
        <v>0</v>
      </c>
      <c r="O8" s="106">
        <f ca="1">'Donnees a saisir'!O8*$C$8</f>
        <v>75</v>
      </c>
    </row>
    <row r="9" spans="2:15" x14ac:dyDescent="0.2">
      <c r="B9" s="10" t="s">
        <v>3</v>
      </c>
      <c r="C9" s="107">
        <f ca="1">'Donnees a saisir'!C9*D9</f>
        <v>250</v>
      </c>
      <c r="D9" s="109">
        <f ca="1">D7+D8</f>
        <v>2500</v>
      </c>
      <c r="E9" s="109">
        <f ca="1">'Donnees a saisir'!E9*$D$9</f>
        <v>750</v>
      </c>
      <c r="F9" s="109">
        <f ca="1">'Donnees a saisir'!F9*$D$9</f>
        <v>0</v>
      </c>
      <c r="G9" s="109">
        <f ca="1">'Donnees a saisir'!G9*$D$9</f>
        <v>0</v>
      </c>
      <c r="H9" s="109">
        <f ca="1">'Donnees a saisir'!H9*$D$9</f>
        <v>0</v>
      </c>
      <c r="I9" s="109">
        <f ca="1">'Donnees a saisir'!I9*$D$9</f>
        <v>0</v>
      </c>
      <c r="J9" s="109">
        <f ca="1">'Donnees a saisir'!J9*$D$9</f>
        <v>0</v>
      </c>
      <c r="K9" s="109">
        <f ca="1">'Donnees a saisir'!K9*$D$9</f>
        <v>0</v>
      </c>
      <c r="L9" s="109">
        <f ca="1">'Donnees a saisir'!L9*$D$9</f>
        <v>0</v>
      </c>
      <c r="M9" s="109">
        <f ca="1">'Donnees a saisir'!M9*$D$9</f>
        <v>500</v>
      </c>
      <c r="N9" s="109">
        <f ca="1">'Donnees a saisir'!N9*$D$9</f>
        <v>1000</v>
      </c>
      <c r="O9" s="109">
        <f ca="1">'Donnees a saisir'!O9*$D$9</f>
        <v>0</v>
      </c>
    </row>
    <row r="10" spans="2:15" ht="37" x14ac:dyDescent="0.2">
      <c r="B10" s="20" t="s">
        <v>99</v>
      </c>
      <c r="C10" s="38">
        <f ca="1">C7+C9-C8</f>
        <v>0</v>
      </c>
      <c r="D10" s="38">
        <f ca="1">D7+D8-D9</f>
        <v>0</v>
      </c>
      <c r="E10" s="34">
        <f ca="1">SUM(E7:E9)</f>
        <v>3670</v>
      </c>
      <c r="F10" s="34">
        <f ca="1">SUM(F7:F9)</f>
        <v>1083</v>
      </c>
      <c r="G10" s="34">
        <f t="shared" ref="G10:O10" ca="1" si="0">SUM(G7:G9)</f>
        <v>1245</v>
      </c>
      <c r="H10" s="34">
        <f t="shared" ca="1" si="0"/>
        <v>1860</v>
      </c>
      <c r="I10" s="34">
        <f t="shared" ca="1" si="0"/>
        <v>2830</v>
      </c>
      <c r="J10" s="34">
        <f t="shared" ca="1" si="0"/>
        <v>3275</v>
      </c>
      <c r="K10" s="34">
        <f t="shared" ca="1" si="0"/>
        <v>10250</v>
      </c>
      <c r="L10" s="34">
        <f t="shared" ca="1" si="0"/>
        <v>6955</v>
      </c>
      <c r="M10" s="34">
        <f t="shared" ca="1" si="0"/>
        <v>2385</v>
      </c>
      <c r="N10" s="34">
        <f t="shared" ca="1" si="0"/>
        <v>4062</v>
      </c>
      <c r="O10" s="34">
        <f t="shared" ca="1" si="0"/>
        <v>4785</v>
      </c>
    </row>
    <row r="11" spans="2:15" ht="57" customHeight="1" x14ac:dyDescent="0.2">
      <c r="B11" s="20" t="s">
        <v>135</v>
      </c>
      <c r="C11" s="37"/>
      <c r="D11" s="37"/>
      <c r="E11" s="58" t="str">
        <f>'Donnees a saisir'!E10</f>
        <v>kg de fèves et de sucre acheté</v>
      </c>
      <c r="F11" s="58" t="str">
        <f>'Donnees a saisir'!F10</f>
        <v>kg de fèves concassées</v>
      </c>
      <c r="G11" s="58" t="str">
        <f>'Donnees a saisir'!G10</f>
        <v>kg de grains torréfiés</v>
      </c>
      <c r="H11" s="58" t="str">
        <f>'Donnees a saisir'!H10</f>
        <v>heure machine</v>
      </c>
      <c r="I11" s="58" t="str">
        <f>'Donnees a saisir'!I10</f>
        <v>heure de MO</v>
      </c>
      <c r="J11" s="58" t="str">
        <f>'Donnees a saisir'!J10</f>
        <v>heure machine</v>
      </c>
      <c r="K11" s="58" t="str">
        <f>'Donnees a saisir'!K10</f>
        <v>heure machine</v>
      </c>
      <c r="L11" s="58" t="str">
        <f>'Donnees a saisir'!L10</f>
        <v>heure machine</v>
      </c>
      <c r="M11" s="58" t="str">
        <f>'Donnees a saisir'!M10</f>
        <v>nb de tablettes et de paquets conditionnés</v>
      </c>
      <c r="N11" s="58" t="str">
        <f>'Donnees a saisir'!N10</f>
        <v>nb de tablettes et de paquets vendus</v>
      </c>
      <c r="O11" s="58" t="str">
        <f>'Donnees a saisir'!O10</f>
        <v>1€ de coût de production des produits vendus</v>
      </c>
    </row>
    <row r="12" spans="2:15" x14ac:dyDescent="0.2">
      <c r="B12" s="20" t="s">
        <v>109</v>
      </c>
      <c r="C12" s="38"/>
      <c r="D12" s="38"/>
      <c r="E12" s="57">
        <f>'Donnees a saisir'!E30+'Donnees a saisir'!C33</f>
        <v>8575</v>
      </c>
      <c r="F12" s="57">
        <f>'Donnees a saisir'!C39</f>
        <v>8000</v>
      </c>
      <c r="G12" s="57">
        <f>'Donnees a saisir'!I39</f>
        <v>6400</v>
      </c>
      <c r="H12" s="57">
        <f>'Donnees a saisir'!J56</f>
        <v>120</v>
      </c>
      <c r="I12" s="57">
        <f>'Donnees a saisir'!C59</f>
        <v>165</v>
      </c>
      <c r="J12" s="57">
        <f>'Donnees a saisir'!J57</f>
        <v>115</v>
      </c>
      <c r="K12" s="57">
        <f>'Donnees a saisir'!J58</f>
        <v>250</v>
      </c>
      <c r="L12" s="57">
        <f>'Donnees a saisir'!J59</f>
        <v>210</v>
      </c>
      <c r="M12" s="57">
        <f>'Donnees a saisir'!J42+'Donnees a saisir'!J46</f>
        <v>52040</v>
      </c>
      <c r="N12" s="57">
        <f>'Donnees a saisir'!C70+'Donnees a saisir'!C73</f>
        <v>51915</v>
      </c>
      <c r="O12" s="57">
        <f ca="1">'Couts de prod et stocks PF'!F48</f>
        <v>62425.39746206213</v>
      </c>
    </row>
    <row r="13" spans="2:15" x14ac:dyDescent="0.2">
      <c r="B13" s="20" t="s">
        <v>110</v>
      </c>
      <c r="C13" s="38"/>
      <c r="D13" s="38"/>
      <c r="E13" s="34">
        <f ca="1">E10/E12</f>
        <v>0.42798833819241983</v>
      </c>
      <c r="F13" s="34">
        <f ca="1">F10/F12</f>
        <v>0.135375</v>
      </c>
      <c r="G13" s="34">
        <f ca="1">G10/G12</f>
        <v>0.19453124999999999</v>
      </c>
      <c r="H13" s="34">
        <f ca="1">H10/H12</f>
        <v>15.5</v>
      </c>
      <c r="I13" s="34">
        <f t="shared" ref="I13:O13" ca="1" si="1">I10/I12</f>
        <v>17.151515151515152</v>
      </c>
      <c r="J13" s="34">
        <f t="shared" ca="1" si="1"/>
        <v>28.478260869565219</v>
      </c>
      <c r="K13" s="34">
        <f t="shared" ca="1" si="1"/>
        <v>41</v>
      </c>
      <c r="L13" s="34">
        <f t="shared" ca="1" si="1"/>
        <v>33.11904761904762</v>
      </c>
      <c r="M13" s="34">
        <f t="shared" ca="1" si="1"/>
        <v>4.5830130668716371E-2</v>
      </c>
      <c r="N13" s="34">
        <f t="shared" ca="1" si="1"/>
        <v>7.8243282288355961E-2</v>
      </c>
      <c r="O13" s="34">
        <f t="shared" ca="1" si="1"/>
        <v>7.6651494336227408E-2</v>
      </c>
    </row>
  </sheetData>
  <mergeCells count="8">
    <mergeCell ref="C4:D4"/>
    <mergeCell ref="E4:N4"/>
    <mergeCell ref="O4:O6"/>
    <mergeCell ref="C5:C6"/>
    <mergeCell ref="D5:D6"/>
    <mergeCell ref="E5:E6"/>
    <mergeCell ref="F5:M5"/>
    <mergeCell ref="N5:N6"/>
  </mergeCells>
  <phoneticPr fontId="0" type="noConversion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B2:K34"/>
  <sheetViews>
    <sheetView topLeftCell="A4" zoomScale="134" zoomScaleNormal="240" workbookViewId="0">
      <selection activeCell="D27" sqref="D27"/>
    </sheetView>
  </sheetViews>
  <sheetFormatPr baseColWidth="10" defaultColWidth="12.83203125" defaultRowHeight="11" x14ac:dyDescent="0.15"/>
  <cols>
    <col min="1" max="1" width="12.83203125" style="23" customWidth="1"/>
    <col min="2" max="2" width="16.83203125" style="23" customWidth="1"/>
    <col min="3" max="16384" width="12.83203125" style="23"/>
  </cols>
  <sheetData>
    <row r="2" spans="2:6" ht="16" x14ac:dyDescent="0.2">
      <c r="B2" s="21" t="s">
        <v>88</v>
      </c>
      <c r="C2" s="21" t="str">
        <f>'Donnees a saisir'!C2</f>
        <v>Mai</v>
      </c>
      <c r="F2" s="40" t="s">
        <v>127</v>
      </c>
    </row>
    <row r="3" spans="2:6" x14ac:dyDescent="0.15">
      <c r="B3" s="26"/>
      <c r="C3" s="26"/>
    </row>
    <row r="4" spans="2:6" x14ac:dyDescent="0.15">
      <c r="B4" s="26"/>
      <c r="C4" s="26"/>
    </row>
    <row r="5" spans="2:6" x14ac:dyDescent="0.15">
      <c r="B5" s="173" t="s">
        <v>103</v>
      </c>
      <c r="C5" s="173"/>
      <c r="D5" s="173"/>
      <c r="E5" s="173"/>
    </row>
    <row r="6" spans="2:6" ht="12" x14ac:dyDescent="0.15">
      <c r="B6" s="22"/>
      <c r="C6" s="22" t="s">
        <v>67</v>
      </c>
      <c r="D6" s="2" t="s">
        <v>118</v>
      </c>
      <c r="E6" s="22" t="s">
        <v>68</v>
      </c>
    </row>
    <row r="7" spans="2:6" ht="12" x14ac:dyDescent="0.15">
      <c r="B7" s="25" t="s">
        <v>70</v>
      </c>
      <c r="C7" s="171">
        <f>'Donnees a saisir'!E30</f>
        <v>7600</v>
      </c>
      <c r="D7" s="167">
        <f>'Donnees a saisir'!F30</f>
        <v>1.25</v>
      </c>
      <c r="E7" s="169">
        <f>C7*D7</f>
        <v>9500</v>
      </c>
    </row>
    <row r="8" spans="2:6" ht="12" x14ac:dyDescent="0.15">
      <c r="B8" s="22" t="s">
        <v>71</v>
      </c>
      <c r="C8" s="172"/>
      <c r="D8" s="168"/>
      <c r="E8" s="170"/>
    </row>
    <row r="9" spans="2:6" ht="12" customHeight="1" x14ac:dyDescent="0.15">
      <c r="B9" s="25" t="s">
        <v>72</v>
      </c>
      <c r="C9" s="165">
        <f>'Donnees a saisir'!E30</f>
        <v>7600</v>
      </c>
      <c r="D9" s="167">
        <f ca="1">'Tableau de repartition'!E13</f>
        <v>0.42798833819241983</v>
      </c>
      <c r="E9" s="169">
        <f ca="1">C9*D9</f>
        <v>3252.7113702623906</v>
      </c>
    </row>
    <row r="10" spans="2:6" ht="12" x14ac:dyDescent="0.15">
      <c r="B10" s="22" t="s">
        <v>73</v>
      </c>
      <c r="C10" s="166"/>
      <c r="D10" s="168"/>
      <c r="E10" s="170"/>
    </row>
    <row r="11" spans="2:6" ht="12" x14ac:dyDescent="0.15">
      <c r="B11" s="24" t="s">
        <v>69</v>
      </c>
      <c r="C11" s="98">
        <f>'Donnees a saisir'!E30</f>
        <v>7600</v>
      </c>
      <c r="D11" s="80">
        <f ca="1">D7+D9</f>
        <v>1.6779883381924199</v>
      </c>
      <c r="E11" s="80">
        <f ca="1">E7+E9</f>
        <v>12752.71137026239</v>
      </c>
    </row>
    <row r="14" spans="2:6" x14ac:dyDescent="0.15">
      <c r="B14" s="174" t="s">
        <v>102</v>
      </c>
      <c r="C14" s="174"/>
      <c r="D14" s="174"/>
      <c r="E14" s="174"/>
    </row>
    <row r="15" spans="2:6" ht="12" x14ac:dyDescent="0.15">
      <c r="B15" s="22"/>
      <c r="C15" s="22" t="s">
        <v>67</v>
      </c>
      <c r="D15" s="22" t="s">
        <v>119</v>
      </c>
      <c r="E15" s="22" t="s">
        <v>68</v>
      </c>
    </row>
    <row r="16" spans="2:6" ht="12" x14ac:dyDescent="0.15">
      <c r="B16" s="25" t="s">
        <v>70</v>
      </c>
      <c r="C16" s="171">
        <f>'Donnees a saisir'!C33</f>
        <v>975</v>
      </c>
      <c r="D16" s="167">
        <f>'Donnees a saisir'!D33</f>
        <v>0.3</v>
      </c>
      <c r="E16" s="169">
        <f>C16*D16</f>
        <v>292.5</v>
      </c>
    </row>
    <row r="17" spans="2:11" ht="12" x14ac:dyDescent="0.15">
      <c r="B17" s="22" t="s">
        <v>71</v>
      </c>
      <c r="C17" s="172"/>
      <c r="D17" s="168"/>
      <c r="E17" s="170"/>
    </row>
    <row r="18" spans="2:11" ht="12" x14ac:dyDescent="0.15">
      <c r="B18" s="25" t="s">
        <v>72</v>
      </c>
      <c r="C18" s="165">
        <f>'Donnees a saisir'!C33</f>
        <v>975</v>
      </c>
      <c r="D18" s="167">
        <f ca="1">'Tableau de repartition'!E13</f>
        <v>0.42798833819241983</v>
      </c>
      <c r="E18" s="169">
        <f ca="1">C18*D18</f>
        <v>417.28862973760931</v>
      </c>
    </row>
    <row r="19" spans="2:11" ht="12" x14ac:dyDescent="0.15">
      <c r="B19" s="22" t="s">
        <v>73</v>
      </c>
      <c r="C19" s="166"/>
      <c r="D19" s="168"/>
      <c r="E19" s="170"/>
    </row>
    <row r="20" spans="2:11" ht="12" x14ac:dyDescent="0.15">
      <c r="B20" s="24" t="s">
        <v>69</v>
      </c>
      <c r="C20" s="98">
        <f>'Donnees a saisir'!C33</f>
        <v>975</v>
      </c>
      <c r="D20" s="80">
        <f ca="1">D16+D18</f>
        <v>0.72798833819241981</v>
      </c>
      <c r="E20" s="80">
        <f ca="1">E16+E18</f>
        <v>709.78862973760931</v>
      </c>
    </row>
    <row r="22" spans="2:11" x14ac:dyDescent="0.15">
      <c r="B22" s="173" t="s">
        <v>94</v>
      </c>
      <c r="C22" s="173"/>
      <c r="D22" s="173"/>
      <c r="E22" s="173"/>
      <c r="F22" s="173"/>
      <c r="G22" s="173"/>
      <c r="H22" s="173"/>
      <c r="I22" s="173"/>
    </row>
    <row r="23" spans="2:11" x14ac:dyDescent="0.15">
      <c r="B23" s="175" t="s">
        <v>78</v>
      </c>
      <c r="C23" s="175"/>
      <c r="D23" s="175"/>
      <c r="E23" s="175"/>
      <c r="F23" s="175" t="s">
        <v>79</v>
      </c>
      <c r="G23" s="175"/>
      <c r="H23" s="175"/>
      <c r="I23" s="175"/>
    </row>
    <row r="24" spans="2:11" ht="12" x14ac:dyDescent="0.15">
      <c r="B24" s="22" t="s">
        <v>74</v>
      </c>
      <c r="C24" s="22" t="s">
        <v>76</v>
      </c>
      <c r="D24" s="22" t="s">
        <v>117</v>
      </c>
      <c r="E24" s="22" t="s">
        <v>77</v>
      </c>
      <c r="F24" s="22" t="s">
        <v>74</v>
      </c>
      <c r="G24" s="22" t="s">
        <v>76</v>
      </c>
      <c r="H24" s="22" t="s">
        <v>117</v>
      </c>
      <c r="I24" s="22" t="s">
        <v>77</v>
      </c>
    </row>
    <row r="25" spans="2:11" ht="24" x14ac:dyDescent="0.15">
      <c r="B25" s="22" t="s">
        <v>75</v>
      </c>
      <c r="C25" s="98">
        <f>'Donnees a saisir'!C15</f>
        <v>500</v>
      </c>
      <c r="D25" s="81">
        <f>'Donnees a saisir'!D15</f>
        <v>1.98</v>
      </c>
      <c r="E25" s="80">
        <f>C25*D25</f>
        <v>990</v>
      </c>
      <c r="F25" s="22" t="s">
        <v>80</v>
      </c>
      <c r="G25" s="98">
        <f>'Donnees a saisir'!C39</f>
        <v>8000</v>
      </c>
      <c r="H25" s="81">
        <f ca="1">'Couts d''achat et stocks MP'!D27</f>
        <v>1.6966310333657271</v>
      </c>
      <c r="I25" s="87">
        <f ca="1">G25*H25</f>
        <v>13573.048266925816</v>
      </c>
    </row>
    <row r="26" spans="2:11" ht="12" x14ac:dyDescent="0.15">
      <c r="B26" s="2" t="s">
        <v>71</v>
      </c>
      <c r="C26" s="98">
        <f>C11</f>
        <v>7600</v>
      </c>
      <c r="D26" s="81">
        <f ca="1">D11</f>
        <v>1.6779883381924199</v>
      </c>
      <c r="E26" s="81">
        <f ca="1">E11</f>
        <v>12752.71137026239</v>
      </c>
      <c r="F26" s="2" t="s">
        <v>85</v>
      </c>
      <c r="G26" s="99">
        <f>G27-G25</f>
        <v>100</v>
      </c>
      <c r="H26" s="81">
        <f ca="1">H25</f>
        <v>1.6966310333657271</v>
      </c>
      <c r="I26" s="80">
        <f ca="1">I27-I25</f>
        <v>169.66310333657384</v>
      </c>
    </row>
    <row r="27" spans="2:11" ht="12" x14ac:dyDescent="0.15">
      <c r="B27" s="24" t="s">
        <v>69</v>
      </c>
      <c r="C27" s="99">
        <f>C25+C26</f>
        <v>8100</v>
      </c>
      <c r="D27" s="80">
        <f ca="1">E27/C27</f>
        <v>1.6966310333657271</v>
      </c>
      <c r="E27" s="80">
        <f ca="1">E25+E26</f>
        <v>13742.71137026239</v>
      </c>
      <c r="F27" s="22" t="s">
        <v>69</v>
      </c>
      <c r="G27" s="98">
        <f>C27</f>
        <v>8100</v>
      </c>
      <c r="H27" s="81">
        <f ca="1">D27</f>
        <v>1.6966310333657271</v>
      </c>
      <c r="I27" s="81">
        <f ca="1">E27</f>
        <v>13742.71137026239</v>
      </c>
    </row>
    <row r="29" spans="2:11" x14ac:dyDescent="0.15">
      <c r="B29" s="176" t="s">
        <v>137</v>
      </c>
      <c r="C29" s="177"/>
      <c r="D29" s="177"/>
      <c r="E29" s="177"/>
      <c r="F29" s="177"/>
      <c r="G29" s="177"/>
      <c r="H29" s="177"/>
      <c r="I29" s="177"/>
    </row>
    <row r="30" spans="2:11" ht="14" x14ac:dyDescent="0.2">
      <c r="B30" s="175" t="s">
        <v>78</v>
      </c>
      <c r="C30" s="175"/>
      <c r="D30" s="175"/>
      <c r="E30" s="175"/>
      <c r="F30" s="175" t="s">
        <v>79</v>
      </c>
      <c r="G30" s="175"/>
      <c r="H30" s="175"/>
      <c r="I30" s="175"/>
      <c r="K30" s="30"/>
    </row>
    <row r="31" spans="2:11" ht="12" x14ac:dyDescent="0.15">
      <c r="B31" s="22" t="s">
        <v>74</v>
      </c>
      <c r="C31" s="22" t="s">
        <v>76</v>
      </c>
      <c r="D31" s="22" t="s">
        <v>117</v>
      </c>
      <c r="E31" s="22" t="s">
        <v>77</v>
      </c>
      <c r="F31" s="22" t="s">
        <v>74</v>
      </c>
      <c r="G31" s="22" t="s">
        <v>76</v>
      </c>
      <c r="H31" s="22" t="s">
        <v>117</v>
      </c>
      <c r="I31" s="22" t="s">
        <v>77</v>
      </c>
    </row>
    <row r="32" spans="2:11" ht="12" x14ac:dyDescent="0.15">
      <c r="B32" s="22" t="s">
        <v>75</v>
      </c>
      <c r="C32" s="98">
        <f>'Donnees a saisir'!C16</f>
        <v>125</v>
      </c>
      <c r="D32" s="81">
        <f>'Donnees a saisir'!D16</f>
        <v>0.43</v>
      </c>
      <c r="E32" s="80">
        <f>C32*D32</f>
        <v>53.75</v>
      </c>
      <c r="F32" s="22" t="s">
        <v>81</v>
      </c>
      <c r="G32" s="98">
        <f>'Donnees a saisir'!C46</f>
        <v>1025</v>
      </c>
      <c r="H32" s="81">
        <f ca="1">D34</f>
        <v>0.69412602703419024</v>
      </c>
      <c r="I32" s="80">
        <f ca="1">G32*H32</f>
        <v>711.47917771004495</v>
      </c>
    </row>
    <row r="33" spans="2:9" ht="12" x14ac:dyDescent="0.15">
      <c r="B33" s="2" t="s">
        <v>71</v>
      </c>
      <c r="C33" s="98">
        <f>C20</f>
        <v>975</v>
      </c>
      <c r="D33" s="81">
        <f ca="1">D20</f>
        <v>0.72798833819241981</v>
      </c>
      <c r="E33" s="81">
        <f ca="1">E20</f>
        <v>709.78862973760931</v>
      </c>
      <c r="F33" s="2" t="s">
        <v>85</v>
      </c>
      <c r="G33" s="99">
        <f>G34-G32</f>
        <v>75</v>
      </c>
      <c r="H33" s="81">
        <f ca="1">H32</f>
        <v>0.69412602703419024</v>
      </c>
      <c r="I33" s="80">
        <f ca="1">I34-I32</f>
        <v>52.059452027564362</v>
      </c>
    </row>
    <row r="34" spans="2:9" ht="12" x14ac:dyDescent="0.15">
      <c r="B34" s="24" t="s">
        <v>69</v>
      </c>
      <c r="C34" s="99">
        <f>C32+C33</f>
        <v>1100</v>
      </c>
      <c r="D34" s="80">
        <f ca="1">E34/C34</f>
        <v>0.69412602703419024</v>
      </c>
      <c r="E34" s="80">
        <f ca="1">E32+E33</f>
        <v>763.53862973760931</v>
      </c>
      <c r="F34" s="24" t="s">
        <v>69</v>
      </c>
      <c r="G34" s="98">
        <f>C34</f>
        <v>1100</v>
      </c>
      <c r="H34" s="81">
        <f ca="1">D34</f>
        <v>0.69412602703419024</v>
      </c>
      <c r="I34" s="81">
        <f ca="1">E34</f>
        <v>763.53862973760931</v>
      </c>
    </row>
  </sheetData>
  <mergeCells count="20">
    <mergeCell ref="F30:I30"/>
    <mergeCell ref="B23:E23"/>
    <mergeCell ref="F23:I23"/>
    <mergeCell ref="B22:I22"/>
    <mergeCell ref="B29:I29"/>
    <mergeCell ref="B30:E30"/>
    <mergeCell ref="B5:E5"/>
    <mergeCell ref="B14:E14"/>
    <mergeCell ref="C16:C17"/>
    <mergeCell ref="D16:D17"/>
    <mergeCell ref="E16:E17"/>
    <mergeCell ref="E7:E8"/>
    <mergeCell ref="C9:C10"/>
    <mergeCell ref="D9:D10"/>
    <mergeCell ref="E9:E10"/>
    <mergeCell ref="C18:C19"/>
    <mergeCell ref="D18:D19"/>
    <mergeCell ref="E18:E19"/>
    <mergeCell ref="C7:C8"/>
    <mergeCell ref="D7:D8"/>
  </mergeCells>
  <phoneticPr fontId="0" type="noConversion"/>
  <pageMargins left="0.7" right="0.7" top="0.75" bottom="0.75" header="0.3" footer="0.3"/>
  <pageSetup paperSize="9" orientation="landscape" r:id="rId1"/>
  <ignoredErrors>
    <ignoredError sqref="D27 D34 H26 H33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B1:O40"/>
  <sheetViews>
    <sheetView topLeftCell="A19" zoomScale="125" zoomScaleNormal="218" workbookViewId="0">
      <selection activeCell="O13" sqref="O13"/>
    </sheetView>
  </sheetViews>
  <sheetFormatPr baseColWidth="10" defaultColWidth="10.83203125" defaultRowHeight="15" x14ac:dyDescent="0.2"/>
  <sheetData>
    <row r="1" spans="2:15" x14ac:dyDescent="0.2">
      <c r="B1" s="21" t="s">
        <v>88</v>
      </c>
      <c r="C1" s="21" t="str">
        <f>'Donnees a saisir'!C2</f>
        <v>Mai</v>
      </c>
      <c r="F1" s="39" t="s">
        <v>126</v>
      </c>
      <c r="G1" s="39"/>
      <c r="H1" s="39"/>
      <c r="I1" s="39"/>
    </row>
    <row r="3" spans="2:15" x14ac:dyDescent="0.2">
      <c r="B3" s="178" t="s">
        <v>114</v>
      </c>
      <c r="C3" s="179"/>
      <c r="D3" s="179"/>
      <c r="E3" s="179"/>
    </row>
    <row r="4" spans="2:15" x14ac:dyDescent="0.2">
      <c r="B4" s="22"/>
      <c r="C4" s="22" t="s">
        <v>67</v>
      </c>
      <c r="D4" s="22" t="s">
        <v>119</v>
      </c>
      <c r="E4" s="22" t="s">
        <v>68</v>
      </c>
    </row>
    <row r="5" spans="2:15" x14ac:dyDescent="0.2">
      <c r="B5" s="25" t="s">
        <v>70</v>
      </c>
      <c r="C5" s="63"/>
      <c r="D5" s="64"/>
      <c r="E5" s="64"/>
    </row>
    <row r="6" spans="2:15" ht="35" customHeight="1" x14ac:dyDescent="0.2">
      <c r="B6" s="2" t="s">
        <v>157</v>
      </c>
      <c r="C6" s="110">
        <f>'Couts d''achat et stocks MP'!G25</f>
        <v>8000</v>
      </c>
      <c r="D6" s="90">
        <f ca="1">'Couts d''achat et stocks MP'!H25</f>
        <v>1.6966310333657271</v>
      </c>
      <c r="E6" s="90">
        <f ca="1">'Couts d''achat et stocks MP'!I25</f>
        <v>13573.048266925816</v>
      </c>
    </row>
    <row r="7" spans="2:15" ht="25" customHeight="1" x14ac:dyDescent="0.2">
      <c r="B7" s="2" t="s">
        <v>138</v>
      </c>
      <c r="C7" s="125">
        <f>'Donnees a saisir'!C56</f>
        <v>95</v>
      </c>
      <c r="D7" s="81">
        <f>'Donnees a saisir'!D56</f>
        <v>13.5</v>
      </c>
      <c r="E7" s="80">
        <f>C7*D7</f>
        <v>1282.5</v>
      </c>
    </row>
    <row r="8" spans="2:15" ht="25" customHeight="1" x14ac:dyDescent="0.2">
      <c r="B8" s="2" t="s">
        <v>139</v>
      </c>
      <c r="C8" s="125">
        <f>'Donnees a saisir'!C57</f>
        <v>90</v>
      </c>
      <c r="D8" s="81">
        <f>'Donnees a saisir'!D57</f>
        <v>13.5</v>
      </c>
      <c r="E8" s="80">
        <f t="shared" ref="E8:E9" si="0">C8*D8</f>
        <v>1215</v>
      </c>
    </row>
    <row r="9" spans="2:15" ht="25" x14ac:dyDescent="0.2">
      <c r="B9" s="2" t="s">
        <v>140</v>
      </c>
      <c r="C9" s="125">
        <f>'Donnees a saisir'!C58</f>
        <v>90</v>
      </c>
      <c r="D9" s="81">
        <f>'Donnees a saisir'!D58</f>
        <v>13.5</v>
      </c>
      <c r="E9" s="80">
        <f t="shared" si="0"/>
        <v>1215</v>
      </c>
    </row>
    <row r="10" spans="2:15" x14ac:dyDescent="0.2">
      <c r="B10" s="25" t="s">
        <v>72</v>
      </c>
      <c r="C10" s="66"/>
      <c r="D10" s="85"/>
      <c r="E10" s="85"/>
    </row>
    <row r="11" spans="2:15" ht="27" customHeight="1" x14ac:dyDescent="0.2">
      <c r="B11" s="2" t="s">
        <v>141</v>
      </c>
      <c r="C11" s="98">
        <f>'Tableau de repartition'!F12</f>
        <v>8000</v>
      </c>
      <c r="D11" s="81">
        <f ca="1">'Tableau de repartition'!F13</f>
        <v>0.135375</v>
      </c>
      <c r="E11" s="80">
        <f ca="1">C11*D11</f>
        <v>1083</v>
      </c>
      <c r="O11" s="41"/>
    </row>
    <row r="12" spans="2:15" ht="30" customHeight="1" x14ac:dyDescent="0.2">
      <c r="B12" s="2" t="s">
        <v>142</v>
      </c>
      <c r="C12" s="98">
        <f>'Tableau de repartition'!G12</f>
        <v>6400</v>
      </c>
      <c r="D12" s="81">
        <f ca="1">'Tableau de repartition'!G13</f>
        <v>0.19453124999999999</v>
      </c>
      <c r="E12" s="80">
        <f t="shared" ref="E12:E13" ca="1" si="1">C12*D12</f>
        <v>1245</v>
      </c>
    </row>
    <row r="13" spans="2:15" ht="25" customHeight="1" x14ac:dyDescent="0.2">
      <c r="B13" s="2" t="s">
        <v>143</v>
      </c>
      <c r="C13" s="127">
        <f>'Tableau de repartition'!H12</f>
        <v>120</v>
      </c>
      <c r="D13" s="81">
        <f ca="1">'Tableau de repartition'!H13</f>
        <v>15.5</v>
      </c>
      <c r="E13" s="80">
        <f t="shared" ca="1" si="1"/>
        <v>1860</v>
      </c>
      <c r="O13" s="41"/>
    </row>
    <row r="14" spans="2:15" x14ac:dyDescent="0.2">
      <c r="B14" s="24" t="s">
        <v>69</v>
      </c>
      <c r="C14" s="111">
        <f>'Donnees a saisir'!I39</f>
        <v>6400</v>
      </c>
      <c r="D14" s="80">
        <f ca="1">E14/C14</f>
        <v>3.355241916707159</v>
      </c>
      <c r="E14" s="91">
        <f ca="1">SUM(E6:E13)</f>
        <v>21473.548266925816</v>
      </c>
      <c r="G14" t="s">
        <v>165</v>
      </c>
    </row>
    <row r="15" spans="2:15" x14ac:dyDescent="0.2">
      <c r="B15" s="31"/>
      <c r="C15" s="26"/>
      <c r="D15" s="26"/>
      <c r="E15" s="26"/>
    </row>
    <row r="16" spans="2:15" x14ac:dyDescent="0.2">
      <c r="B16" s="181" t="s">
        <v>115</v>
      </c>
      <c r="C16" s="182"/>
      <c r="D16" s="182"/>
      <c r="E16" s="182"/>
    </row>
    <row r="17" spans="2:5" x14ac:dyDescent="0.2">
      <c r="B17" s="22"/>
      <c r="C17" s="22" t="s">
        <v>67</v>
      </c>
      <c r="D17" s="22" t="s">
        <v>119</v>
      </c>
      <c r="E17" s="22" t="s">
        <v>68</v>
      </c>
    </row>
    <row r="18" spans="2:5" x14ac:dyDescent="0.2">
      <c r="B18" s="25" t="s">
        <v>70</v>
      </c>
      <c r="C18" s="63"/>
      <c r="D18" s="64"/>
      <c r="E18" s="64"/>
    </row>
    <row r="19" spans="2:5" ht="25" customHeight="1" x14ac:dyDescent="0.2">
      <c r="B19" s="2" t="s">
        <v>146</v>
      </c>
      <c r="C19" s="98">
        <f>'Donnees a saisir'!I42</f>
        <v>1600</v>
      </c>
      <c r="D19" s="81">
        <f ca="1">E19/C19</f>
        <v>3.355241916707159</v>
      </c>
      <c r="E19" s="80">
        <f ca="1">E14/4</f>
        <v>5368.3870667314541</v>
      </c>
    </row>
    <row r="20" spans="2:5" ht="26" customHeight="1" x14ac:dyDescent="0.2">
      <c r="B20" s="2" t="s">
        <v>144</v>
      </c>
      <c r="C20" s="125">
        <f>'Donnees a saisir'!G61</f>
        <v>80</v>
      </c>
      <c r="D20" s="81">
        <f>'Donnees a saisir'!D59</f>
        <v>17.2</v>
      </c>
      <c r="E20" s="80">
        <f>C20*D20</f>
        <v>1376</v>
      </c>
    </row>
    <row r="21" spans="2:5" x14ac:dyDescent="0.2">
      <c r="B21" s="25" t="s">
        <v>72</v>
      </c>
      <c r="C21" s="65"/>
      <c r="D21" s="85"/>
      <c r="E21" s="85"/>
    </row>
    <row r="22" spans="2:5" ht="25" customHeight="1" x14ac:dyDescent="0.2">
      <c r="B22" s="2" t="s">
        <v>145</v>
      </c>
      <c r="C22" s="125">
        <f>'Donnees a saisir'!G61</f>
        <v>80</v>
      </c>
      <c r="D22" s="81">
        <f ca="1">'Tableau de repartition'!I13</f>
        <v>17.151515151515152</v>
      </c>
      <c r="E22" s="80">
        <f ca="1">C22*D22</f>
        <v>1372.1212121212122</v>
      </c>
    </row>
    <row r="23" spans="2:5" x14ac:dyDescent="0.2">
      <c r="B23" s="24" t="s">
        <v>69</v>
      </c>
      <c r="C23" s="112">
        <f>'Donnees a saisir'!I42</f>
        <v>1600</v>
      </c>
      <c r="D23" s="80">
        <f ca="1">E23/C23</f>
        <v>5.0728176742829163</v>
      </c>
      <c r="E23" s="80">
        <f ca="1">SUM(E19:E22)</f>
        <v>8116.5082788526661</v>
      </c>
    </row>
    <row r="24" spans="2:5" x14ac:dyDescent="0.2">
      <c r="B24" s="31"/>
      <c r="C24" s="26"/>
      <c r="D24" s="26"/>
      <c r="E24" s="26"/>
    </row>
    <row r="26" spans="2:5" x14ac:dyDescent="0.2">
      <c r="B26" s="183" t="s">
        <v>116</v>
      </c>
      <c r="C26" s="180"/>
      <c r="D26" s="180"/>
      <c r="E26" s="180"/>
    </row>
    <row r="27" spans="2:5" x14ac:dyDescent="0.2">
      <c r="B27" s="22"/>
      <c r="C27" s="22" t="s">
        <v>67</v>
      </c>
      <c r="D27" s="22" t="s">
        <v>119</v>
      </c>
      <c r="E27" s="22" t="s">
        <v>68</v>
      </c>
    </row>
    <row r="28" spans="2:5" x14ac:dyDescent="0.2">
      <c r="B28" s="25" t="s">
        <v>70</v>
      </c>
      <c r="C28" s="63"/>
      <c r="D28" s="64"/>
      <c r="E28" s="64"/>
    </row>
    <row r="29" spans="2:5" ht="26" customHeight="1" x14ac:dyDescent="0.2">
      <c r="B29" s="2" t="s">
        <v>146</v>
      </c>
      <c r="C29" s="98">
        <f>'Donnees a saisir'!I43</f>
        <v>1600</v>
      </c>
      <c r="D29" s="81">
        <f ca="1">E29/C29</f>
        <v>3.355241916707159</v>
      </c>
      <c r="E29" s="80">
        <f ca="1">E14/4</f>
        <v>5368.3870667314541</v>
      </c>
    </row>
    <row r="30" spans="2:5" ht="25" x14ac:dyDescent="0.2">
      <c r="B30" s="2" t="s">
        <v>144</v>
      </c>
      <c r="C30" s="125">
        <f>'Donnees a saisir'!F61</f>
        <v>85</v>
      </c>
      <c r="D30" s="81">
        <f>'Donnees a saisir'!D59</f>
        <v>17.2</v>
      </c>
      <c r="E30" s="80">
        <f>C30*D30</f>
        <v>1462</v>
      </c>
    </row>
    <row r="31" spans="2:5" x14ac:dyDescent="0.2">
      <c r="B31" s="25" t="s">
        <v>72</v>
      </c>
      <c r="C31" s="65"/>
      <c r="D31" s="85"/>
      <c r="E31" s="85"/>
    </row>
    <row r="32" spans="2:5" ht="27" customHeight="1" x14ac:dyDescent="0.2">
      <c r="B32" s="2" t="s">
        <v>145</v>
      </c>
      <c r="C32" s="125">
        <f>'Donnees a saisir'!F61</f>
        <v>85</v>
      </c>
      <c r="D32" s="81">
        <f ca="1">'Tableau de repartition'!I13</f>
        <v>17.151515151515152</v>
      </c>
      <c r="E32" s="80">
        <f ca="1">C32*D32</f>
        <v>1457.878787878788</v>
      </c>
    </row>
    <row r="33" spans="2:9" x14ac:dyDescent="0.2">
      <c r="B33" s="24" t="s">
        <v>69</v>
      </c>
      <c r="C33" s="111">
        <f>'Donnees a saisir'!I43</f>
        <v>1600</v>
      </c>
      <c r="D33" s="80">
        <f ca="1">E33/C33</f>
        <v>5.1801661591314021</v>
      </c>
      <c r="E33" s="80">
        <f ca="1">SUM(E29:E32)</f>
        <v>8288.265854610243</v>
      </c>
    </row>
    <row r="35" spans="2:9" x14ac:dyDescent="0.2">
      <c r="B35" s="180" t="s">
        <v>95</v>
      </c>
      <c r="C35" s="180"/>
      <c r="D35" s="180"/>
      <c r="E35" s="180"/>
      <c r="F35" s="180"/>
      <c r="G35" s="180"/>
      <c r="H35" s="180"/>
      <c r="I35" s="180"/>
    </row>
    <row r="36" spans="2:9" x14ac:dyDescent="0.2">
      <c r="B36" s="175" t="s">
        <v>78</v>
      </c>
      <c r="C36" s="175"/>
      <c r="D36" s="175"/>
      <c r="E36" s="175"/>
      <c r="F36" s="175" t="s">
        <v>79</v>
      </c>
      <c r="G36" s="175"/>
      <c r="H36" s="175"/>
      <c r="I36" s="175"/>
    </row>
    <row r="37" spans="2:9" x14ac:dyDescent="0.2">
      <c r="B37" s="22" t="s">
        <v>74</v>
      </c>
      <c r="C37" s="22" t="s">
        <v>76</v>
      </c>
      <c r="D37" s="2" t="s">
        <v>117</v>
      </c>
      <c r="E37" s="22" t="s">
        <v>77</v>
      </c>
      <c r="F37" s="22" t="s">
        <v>74</v>
      </c>
      <c r="G37" s="22" t="s">
        <v>76</v>
      </c>
      <c r="H37" s="2" t="s">
        <v>117</v>
      </c>
      <c r="I37" s="22" t="s">
        <v>77</v>
      </c>
    </row>
    <row r="38" spans="2:9" x14ac:dyDescent="0.2">
      <c r="B38" s="22" t="s">
        <v>75</v>
      </c>
      <c r="C38" s="98">
        <f>'Donnees a saisir'!C19</f>
        <v>80</v>
      </c>
      <c r="D38" s="81">
        <f>'Donnees a saisir'!D19</f>
        <v>4.9000000000000004</v>
      </c>
      <c r="E38" s="81">
        <f>'Donnees a saisir'!E19</f>
        <v>392</v>
      </c>
      <c r="F38" s="22" t="s">
        <v>82</v>
      </c>
      <c r="G38" s="98">
        <f>'Donnees a saisir'!C45</f>
        <v>1480</v>
      </c>
      <c r="H38" s="81">
        <f ca="1">D40</f>
        <v>5.1668249134584778</v>
      </c>
      <c r="I38" s="80">
        <f ca="1">G38*H38</f>
        <v>7646.9008719185476</v>
      </c>
    </row>
    <row r="39" spans="2:9" x14ac:dyDescent="0.2">
      <c r="B39" s="2" t="s">
        <v>96</v>
      </c>
      <c r="C39" s="98">
        <f>C33</f>
        <v>1600</v>
      </c>
      <c r="D39" s="81">
        <f t="shared" ref="D39:E39" ca="1" si="2">D33</f>
        <v>5.1801661591314021</v>
      </c>
      <c r="E39" s="81">
        <f t="shared" ca="1" si="2"/>
        <v>8288.265854610243</v>
      </c>
      <c r="F39" s="2" t="s">
        <v>85</v>
      </c>
      <c r="G39" s="99">
        <f>G40-G38</f>
        <v>200</v>
      </c>
      <c r="H39" s="81">
        <f ca="1">H38</f>
        <v>5.1668249134584778</v>
      </c>
      <c r="I39" s="80">
        <f ca="1">I40-I38</f>
        <v>1033.3649826916953</v>
      </c>
    </row>
    <row r="40" spans="2:9" x14ac:dyDescent="0.2">
      <c r="B40" s="24" t="s">
        <v>69</v>
      </c>
      <c r="C40" s="99">
        <f>C38+C39</f>
        <v>1680</v>
      </c>
      <c r="D40" s="80">
        <f ca="1">E40/C40</f>
        <v>5.1668249134584778</v>
      </c>
      <c r="E40" s="80">
        <f ca="1">E38+E39</f>
        <v>8680.265854610243</v>
      </c>
      <c r="F40" s="24" t="s">
        <v>69</v>
      </c>
      <c r="G40" s="98">
        <f>C40</f>
        <v>1680</v>
      </c>
      <c r="H40" s="81">
        <f ca="1">D40</f>
        <v>5.1668249134584778</v>
      </c>
      <c r="I40" s="81">
        <f ca="1">E40</f>
        <v>8680.265854610243</v>
      </c>
    </row>
  </sheetData>
  <mergeCells count="6">
    <mergeCell ref="B3:E3"/>
    <mergeCell ref="B35:I35"/>
    <mergeCell ref="B36:E36"/>
    <mergeCell ref="F36:I36"/>
    <mergeCell ref="B16:E16"/>
    <mergeCell ref="B26:E26"/>
  </mergeCells>
  <phoneticPr fontId="6" type="noConversion"/>
  <pageMargins left="0.7" right="0.7" top="0.75" bottom="0.75" header="0.3" footer="0.3"/>
  <pageSetup paperSize="9" orientation="landscape" r:id="rId1"/>
  <ignoredErrors>
    <ignoredError sqref="D40 H39 D19 D2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B1:I48"/>
  <sheetViews>
    <sheetView topLeftCell="A30" zoomScale="136" workbookViewId="0">
      <selection activeCell="G47" sqref="G47"/>
    </sheetView>
  </sheetViews>
  <sheetFormatPr baseColWidth="10" defaultColWidth="11" defaultRowHeight="11" x14ac:dyDescent="0.15"/>
  <cols>
    <col min="1" max="16384" width="11" style="28"/>
  </cols>
  <sheetData>
    <row r="1" spans="2:9" ht="19" x14ac:dyDescent="0.25">
      <c r="B1" s="27" t="s">
        <v>88</v>
      </c>
      <c r="C1" s="27" t="str">
        <f>'Donnees a saisir'!C2</f>
        <v>Mai</v>
      </c>
      <c r="H1" s="44" t="s">
        <v>125</v>
      </c>
    </row>
    <row r="2" spans="2:9" x14ac:dyDescent="0.15">
      <c r="B2" s="185" t="s">
        <v>86</v>
      </c>
      <c r="C2" s="185"/>
      <c r="D2" s="185"/>
      <c r="E2" s="185"/>
    </row>
    <row r="3" spans="2:9" ht="12" x14ac:dyDescent="0.15">
      <c r="B3" s="22"/>
      <c r="C3" s="22" t="s">
        <v>67</v>
      </c>
      <c r="D3" s="22" t="s">
        <v>119</v>
      </c>
      <c r="E3" s="22" t="s">
        <v>68</v>
      </c>
    </row>
    <row r="4" spans="2:9" ht="12" x14ac:dyDescent="0.15">
      <c r="B4" s="25" t="s">
        <v>70</v>
      </c>
      <c r="C4" s="63"/>
      <c r="D4" s="64"/>
      <c r="E4" s="64"/>
    </row>
    <row r="5" spans="2:9" ht="22" customHeight="1" x14ac:dyDescent="0.15">
      <c r="B5" s="2" t="s">
        <v>161</v>
      </c>
      <c r="C5" s="98">
        <f>'Couts de prod PI'!C23</f>
        <v>1600</v>
      </c>
      <c r="D5" s="81">
        <f ca="1">'Couts de prod PI'!D23</f>
        <v>5.0728176742829163</v>
      </c>
      <c r="E5" s="81">
        <f ca="1">'Couts de prod PI'!E23</f>
        <v>8116.5082788526661</v>
      </c>
    </row>
    <row r="6" spans="2:9" ht="23" customHeight="1" x14ac:dyDescent="0.15">
      <c r="B6" s="2" t="s">
        <v>148</v>
      </c>
      <c r="C6" s="125">
        <f>'Donnees a saisir'!C60</f>
        <v>85</v>
      </c>
      <c r="D6" s="81">
        <f>'Donnees a saisir'!D60</f>
        <v>11.7</v>
      </c>
      <c r="E6" s="80">
        <f>C6*D6</f>
        <v>994.49999999999989</v>
      </c>
    </row>
    <row r="7" spans="2:9" ht="24" x14ac:dyDescent="0.15">
      <c r="B7" s="2" t="s">
        <v>156</v>
      </c>
      <c r="C7" s="78"/>
      <c r="D7" s="85"/>
      <c r="E7" s="81">
        <f>'Donnees a saisir'!C49</f>
        <v>120</v>
      </c>
    </row>
    <row r="8" spans="2:9" ht="24" x14ac:dyDescent="0.15">
      <c r="B8" s="2" t="s">
        <v>154</v>
      </c>
      <c r="C8" s="66"/>
      <c r="D8" s="85"/>
      <c r="E8" s="81">
        <f>'Donnees a saisir'!C51</f>
        <v>555</v>
      </c>
    </row>
    <row r="9" spans="2:9" ht="36" x14ac:dyDescent="0.15">
      <c r="B9" s="2" t="s">
        <v>147</v>
      </c>
      <c r="C9" s="125">
        <f>'Donnees a saisir'!G65</f>
        <v>30</v>
      </c>
      <c r="D9" s="81">
        <f>'Donnees a saisir'!D63</f>
        <v>13.5</v>
      </c>
      <c r="E9" s="80">
        <f>C9*D9</f>
        <v>405</v>
      </c>
    </row>
    <row r="10" spans="2:9" ht="12" x14ac:dyDescent="0.15">
      <c r="B10" s="25" t="s">
        <v>72</v>
      </c>
      <c r="C10" s="66"/>
      <c r="D10" s="66"/>
      <c r="E10" s="66"/>
    </row>
    <row r="11" spans="2:9" ht="24" customHeight="1" x14ac:dyDescent="0.15">
      <c r="B11" s="2" t="s">
        <v>149</v>
      </c>
      <c r="C11" s="127">
        <f>'Tableau de repartition'!J12</f>
        <v>115</v>
      </c>
      <c r="D11" s="81">
        <f ca="1">'Tableau de repartition'!J13</f>
        <v>28.478260869565219</v>
      </c>
      <c r="E11" s="80">
        <f ca="1">C11*D11</f>
        <v>3275</v>
      </c>
    </row>
    <row r="12" spans="2:9" ht="35" customHeight="1" x14ac:dyDescent="0.15">
      <c r="B12" s="2" t="s">
        <v>152</v>
      </c>
      <c r="C12" s="118">
        <f>'Donnees a saisir'!J42</f>
        <v>6400</v>
      </c>
      <c r="D12" s="81">
        <f ca="1">'Tableau de repartition'!M13</f>
        <v>4.5830130668716371E-2</v>
      </c>
      <c r="E12" s="80">
        <f ca="1">C12*D12</f>
        <v>293.31283627978479</v>
      </c>
    </row>
    <row r="13" spans="2:9" ht="12" x14ac:dyDescent="0.15">
      <c r="B13" s="24" t="s">
        <v>69</v>
      </c>
      <c r="C13" s="118">
        <f>'Donnees a saisir'!J42</f>
        <v>6400</v>
      </c>
      <c r="D13" s="80">
        <f ca="1">E13/C13</f>
        <v>2.1498939242394455</v>
      </c>
      <c r="E13" s="80">
        <f ca="1">SUM(E5:E12)</f>
        <v>13759.32111513245</v>
      </c>
    </row>
    <row r="14" spans="2:9" x14ac:dyDescent="0.15">
      <c r="B14" s="31"/>
      <c r="C14" s="5"/>
      <c r="D14" s="5"/>
      <c r="E14" s="5"/>
    </row>
    <row r="15" spans="2:9" x14ac:dyDescent="0.15">
      <c r="B15" s="31"/>
      <c r="C15" s="5"/>
      <c r="D15" s="5"/>
      <c r="E15" s="5"/>
    </row>
    <row r="16" spans="2:9" x14ac:dyDescent="0.15">
      <c r="B16" s="185" t="s">
        <v>97</v>
      </c>
      <c r="C16" s="185"/>
      <c r="D16" s="185"/>
      <c r="E16" s="185"/>
      <c r="F16" s="185"/>
      <c r="G16" s="185"/>
      <c r="H16" s="185"/>
      <c r="I16" s="185"/>
    </row>
    <row r="17" spans="2:9" x14ac:dyDescent="0.15">
      <c r="B17" s="186" t="s">
        <v>78</v>
      </c>
      <c r="C17" s="186"/>
      <c r="D17" s="186"/>
      <c r="E17" s="186"/>
      <c r="F17" s="186" t="s">
        <v>79</v>
      </c>
      <c r="G17" s="186"/>
      <c r="H17" s="186"/>
      <c r="I17" s="186"/>
    </row>
    <row r="18" spans="2:9" ht="12" x14ac:dyDescent="0.15">
      <c r="B18" s="2" t="s">
        <v>74</v>
      </c>
      <c r="C18" s="2" t="s">
        <v>76</v>
      </c>
      <c r="D18" s="2" t="s">
        <v>117</v>
      </c>
      <c r="E18" s="2" t="s">
        <v>77</v>
      </c>
      <c r="F18" s="2" t="s">
        <v>74</v>
      </c>
      <c r="G18" s="2" t="s">
        <v>76</v>
      </c>
      <c r="H18" s="2" t="s">
        <v>117</v>
      </c>
      <c r="I18" s="2" t="s">
        <v>77</v>
      </c>
    </row>
    <row r="19" spans="2:9" ht="12" x14ac:dyDescent="0.15">
      <c r="B19" s="2" t="s">
        <v>75</v>
      </c>
      <c r="C19" s="121">
        <f>'Donnees a saisir'!C22</f>
        <v>270</v>
      </c>
      <c r="D19" s="86">
        <f>'Donnees a saisir'!D22</f>
        <v>1.9</v>
      </c>
      <c r="E19" s="86">
        <f>'Donnees a saisir'!E22</f>
        <v>513</v>
      </c>
      <c r="F19" s="2" t="s">
        <v>84</v>
      </c>
      <c r="G19" s="121">
        <f>'Donnees a saisir'!C70</f>
        <v>6570</v>
      </c>
      <c r="H19" s="86">
        <f ca="1">D21</f>
        <v>2.1397782781308021</v>
      </c>
      <c r="I19" s="87">
        <f ca="1">G19*H19</f>
        <v>14058.343287319371</v>
      </c>
    </row>
    <row r="20" spans="2:9" ht="12" x14ac:dyDescent="0.15">
      <c r="B20" s="2" t="s">
        <v>98</v>
      </c>
      <c r="C20" s="121">
        <f>C13</f>
        <v>6400</v>
      </c>
      <c r="D20" s="86">
        <f t="shared" ref="D20:E20" ca="1" si="0">D13</f>
        <v>2.1498939242394455</v>
      </c>
      <c r="E20" s="86">
        <f t="shared" ca="1" si="0"/>
        <v>13759.32111513245</v>
      </c>
      <c r="F20" s="2" t="s">
        <v>85</v>
      </c>
      <c r="G20" s="122">
        <f>G21-G19</f>
        <v>100</v>
      </c>
      <c r="H20" s="86">
        <f ca="1">H19</f>
        <v>2.1397782781308021</v>
      </c>
      <c r="I20" s="87">
        <f ca="1">G20*H20</f>
        <v>213.97782781308021</v>
      </c>
    </row>
    <row r="21" spans="2:9" ht="12" x14ac:dyDescent="0.15">
      <c r="B21" s="24" t="s">
        <v>69</v>
      </c>
      <c r="C21" s="122">
        <f>C19+C20</f>
        <v>6670</v>
      </c>
      <c r="D21" s="87">
        <f ca="1">E21/C21</f>
        <v>2.1397782781308021</v>
      </c>
      <c r="E21" s="87">
        <f ca="1">E19+E20</f>
        <v>14272.32111513245</v>
      </c>
      <c r="F21" s="24" t="s">
        <v>69</v>
      </c>
      <c r="G21" s="121">
        <f>C21</f>
        <v>6670</v>
      </c>
      <c r="H21" s="86">
        <f ca="1">D21</f>
        <v>2.1397782781308021</v>
      </c>
      <c r="I21" s="86">
        <f ca="1">E21</f>
        <v>14272.32111513245</v>
      </c>
    </row>
    <row r="22" spans="2:9" x14ac:dyDescent="0.15">
      <c r="B22" s="31"/>
      <c r="C22" s="5"/>
      <c r="D22" s="5"/>
      <c r="E22" s="5"/>
    </row>
    <row r="23" spans="2:9" x14ac:dyDescent="0.15">
      <c r="B23" s="31"/>
      <c r="C23" s="5"/>
      <c r="D23" s="5"/>
      <c r="E23" s="5"/>
    </row>
    <row r="24" spans="2:9" x14ac:dyDescent="0.15">
      <c r="B24" s="188" t="s">
        <v>87</v>
      </c>
      <c r="C24" s="188"/>
      <c r="D24" s="188"/>
      <c r="E24" s="188"/>
    </row>
    <row r="25" spans="2:9" ht="12" x14ac:dyDescent="0.15">
      <c r="B25" s="22"/>
      <c r="C25" s="22" t="s">
        <v>67</v>
      </c>
      <c r="D25" s="22" t="s">
        <v>119</v>
      </c>
      <c r="E25" s="22" t="s">
        <v>68</v>
      </c>
    </row>
    <row r="26" spans="2:9" ht="12" x14ac:dyDescent="0.15">
      <c r="B26" s="25" t="s">
        <v>70</v>
      </c>
      <c r="C26" s="63"/>
      <c r="D26" s="64"/>
      <c r="E26" s="64"/>
    </row>
    <row r="27" spans="2:9" ht="23" customHeight="1" x14ac:dyDescent="0.15">
      <c r="B27" s="2" t="s">
        <v>146</v>
      </c>
      <c r="C27" s="98">
        <f>'Donnees a saisir'!C42</f>
        <v>3200</v>
      </c>
      <c r="D27" s="81">
        <f ca="1">'Couts de prod PI'!D14</f>
        <v>3.355241916707159</v>
      </c>
      <c r="E27" s="80">
        <f ca="1">C27*D27</f>
        <v>10736.774133462908</v>
      </c>
    </row>
    <row r="28" spans="2:9" ht="36" x14ac:dyDescent="0.15">
      <c r="B28" s="2" t="s">
        <v>158</v>
      </c>
      <c r="C28" s="98">
        <f>'Couts d''achat et stocks MP'!G32</f>
        <v>1025</v>
      </c>
      <c r="D28" s="81">
        <f ca="1">'Couts d''achat et stocks MP'!H32</f>
        <v>0.69412602703419024</v>
      </c>
      <c r="E28" s="81">
        <f ca="1">'Couts d''achat et stocks MP'!I32</f>
        <v>711.47917771004495</v>
      </c>
    </row>
    <row r="29" spans="2:9" ht="36" customHeight="1" x14ac:dyDescent="0.15">
      <c r="B29" s="2" t="s">
        <v>153</v>
      </c>
      <c r="C29" s="98">
        <f>'Couts de prod PI'!G38</f>
        <v>1480</v>
      </c>
      <c r="D29" s="81">
        <f ca="1">'Couts de prod PI'!H38</f>
        <v>5.1668249134584778</v>
      </c>
      <c r="E29" s="88">
        <f ca="1">'Couts de prod PI'!I38</f>
        <v>7646.9008719185476</v>
      </c>
    </row>
    <row r="30" spans="2:9" ht="24" x14ac:dyDescent="0.15">
      <c r="B30" s="2" t="s">
        <v>150</v>
      </c>
      <c r="C30" s="125">
        <f>'Donnees a saisir'!C61</f>
        <v>120</v>
      </c>
      <c r="D30" s="81">
        <f>'Donnees a saisir'!D61</f>
        <v>19.5</v>
      </c>
      <c r="E30" s="80">
        <f>C30*D30</f>
        <v>2340</v>
      </c>
    </row>
    <row r="31" spans="2:9" ht="35" customHeight="1" x14ac:dyDescent="0.15">
      <c r="B31" s="2" t="s">
        <v>159</v>
      </c>
      <c r="C31" s="126">
        <f>'Donnees a saisir'!C62</f>
        <v>90</v>
      </c>
      <c r="D31" s="81">
        <f>'Donnees a saisir'!D62</f>
        <v>11.7</v>
      </c>
      <c r="E31" s="80">
        <f>C31*D31</f>
        <v>1053</v>
      </c>
    </row>
    <row r="32" spans="2:9" ht="24" x14ac:dyDescent="0.15">
      <c r="B32" s="2" t="s">
        <v>155</v>
      </c>
      <c r="C32" s="66"/>
      <c r="D32" s="85"/>
      <c r="E32" s="81">
        <f>'Donnees a saisir'!D50</f>
        <v>1205</v>
      </c>
    </row>
    <row r="33" spans="2:9" ht="24" x14ac:dyDescent="0.15">
      <c r="B33" s="2" t="s">
        <v>154</v>
      </c>
      <c r="C33" s="66"/>
      <c r="D33" s="85"/>
      <c r="E33" s="81">
        <f>'Donnees a saisir'!D51</f>
        <v>4010</v>
      </c>
    </row>
    <row r="34" spans="2:9" ht="36" x14ac:dyDescent="0.15">
      <c r="B34" s="2" t="s">
        <v>147</v>
      </c>
      <c r="C34" s="125">
        <f>'Donnees a saisir'!F65</f>
        <v>120</v>
      </c>
      <c r="D34" s="81">
        <f>'Donnees a saisir'!D63</f>
        <v>13.5</v>
      </c>
      <c r="E34" s="80">
        <f>C34*D34</f>
        <v>1620</v>
      </c>
    </row>
    <row r="35" spans="2:9" ht="12" x14ac:dyDescent="0.15">
      <c r="B35" s="25" t="s">
        <v>72</v>
      </c>
      <c r="C35" s="65"/>
      <c r="D35" s="85"/>
      <c r="E35" s="85"/>
    </row>
    <row r="36" spans="2:9" ht="22" customHeight="1" x14ac:dyDescent="0.15">
      <c r="B36" s="2" t="s">
        <v>151</v>
      </c>
      <c r="C36" s="127">
        <f>'Tableau de repartition'!K12</f>
        <v>250</v>
      </c>
      <c r="D36" s="81">
        <f ca="1">'Tableau de repartition'!K13</f>
        <v>41</v>
      </c>
      <c r="E36" s="80">
        <f ca="1">C36*D36</f>
        <v>10250</v>
      </c>
    </row>
    <row r="37" spans="2:9" ht="35" customHeight="1" x14ac:dyDescent="0.15">
      <c r="B37" s="2" t="s">
        <v>160</v>
      </c>
      <c r="C37" s="127">
        <f>'Tableau de repartition'!L12</f>
        <v>210</v>
      </c>
      <c r="D37" s="81">
        <f ca="1">'Tableau de repartition'!L13</f>
        <v>33.11904761904762</v>
      </c>
      <c r="E37" s="80">
        <f t="shared" ref="E37:E38" ca="1" si="1">C37*D37</f>
        <v>6955</v>
      </c>
    </row>
    <row r="38" spans="2:9" ht="36" x14ac:dyDescent="0.15">
      <c r="B38" s="2" t="s">
        <v>152</v>
      </c>
      <c r="C38" s="116">
        <f>'Donnees a saisir'!J46</f>
        <v>45640</v>
      </c>
      <c r="D38" s="81">
        <f ca="1">'Tableau de repartition'!M13</f>
        <v>4.5830130668716371E-2</v>
      </c>
      <c r="E38" s="80">
        <f t="shared" ca="1" si="1"/>
        <v>2091.6871637202153</v>
      </c>
    </row>
    <row r="39" spans="2:9" ht="12" x14ac:dyDescent="0.15">
      <c r="B39" s="24" t="s">
        <v>69</v>
      </c>
      <c r="C39" s="116">
        <f>'Donnees a saisir'!J46</f>
        <v>45640</v>
      </c>
      <c r="D39" s="80">
        <f ca="1">E39/C39</f>
        <v>1.06529012591612</v>
      </c>
      <c r="E39" s="80">
        <f ca="1">SUM(E27:E38)</f>
        <v>48619.841346811714</v>
      </c>
    </row>
    <row r="41" spans="2:9" x14ac:dyDescent="0.15">
      <c r="B41" s="187" t="s">
        <v>113</v>
      </c>
      <c r="C41" s="188"/>
      <c r="D41" s="188"/>
      <c r="E41" s="188"/>
      <c r="F41" s="188"/>
      <c r="G41" s="188"/>
      <c r="H41" s="188"/>
      <c r="I41" s="188"/>
    </row>
    <row r="42" spans="2:9" x14ac:dyDescent="0.15">
      <c r="B42" s="186" t="s">
        <v>78</v>
      </c>
      <c r="C42" s="186"/>
      <c r="D42" s="186"/>
      <c r="E42" s="186"/>
      <c r="F42" s="186" t="s">
        <v>79</v>
      </c>
      <c r="G42" s="186"/>
      <c r="H42" s="186"/>
      <c r="I42" s="186"/>
    </row>
    <row r="43" spans="2:9" ht="12" x14ac:dyDescent="0.15">
      <c r="B43" s="2" t="s">
        <v>74</v>
      </c>
      <c r="C43" s="2" t="s">
        <v>76</v>
      </c>
      <c r="D43" s="2" t="s">
        <v>117</v>
      </c>
      <c r="E43" s="2" t="s">
        <v>77</v>
      </c>
      <c r="F43" s="2" t="s">
        <v>74</v>
      </c>
      <c r="G43" s="2" t="s">
        <v>76</v>
      </c>
      <c r="H43" s="2" t="s">
        <v>117</v>
      </c>
      <c r="I43" s="2" t="s">
        <v>77</v>
      </c>
    </row>
    <row r="44" spans="2:9" ht="12" x14ac:dyDescent="0.15">
      <c r="B44" s="2" t="s">
        <v>75</v>
      </c>
      <c r="C44" s="123">
        <f>'Donnees a saisir'!C25</f>
        <v>320</v>
      </c>
      <c r="D44" s="86">
        <f>'Donnees a saisir'!D25</f>
        <v>1.26</v>
      </c>
      <c r="E44" s="86">
        <f>'Donnees a saisir'!E25</f>
        <v>403.2</v>
      </c>
      <c r="F44" s="2" t="s">
        <v>84</v>
      </c>
      <c r="G44" s="123">
        <f>'Donnees a saisir'!C73</f>
        <v>45345</v>
      </c>
      <c r="H44" s="86">
        <f ca="1">D46</f>
        <v>1.0666458082422043</v>
      </c>
      <c r="I44" s="87">
        <f ca="1">G44*H44</f>
        <v>48367.054174742756</v>
      </c>
    </row>
    <row r="45" spans="2:9" ht="12" x14ac:dyDescent="0.15">
      <c r="B45" s="2" t="s">
        <v>83</v>
      </c>
      <c r="C45" s="123">
        <f>C39</f>
        <v>45640</v>
      </c>
      <c r="D45" s="86">
        <f t="shared" ref="D45:E45" ca="1" si="2">D39</f>
        <v>1.06529012591612</v>
      </c>
      <c r="E45" s="86">
        <f t="shared" ca="1" si="2"/>
        <v>48619.841346811714</v>
      </c>
      <c r="F45" s="2" t="s">
        <v>85</v>
      </c>
      <c r="G45" s="124">
        <f>G46-G44</f>
        <v>615</v>
      </c>
      <c r="H45" s="86">
        <f ca="1">H44</f>
        <v>1.0666458082422043</v>
      </c>
      <c r="I45" s="87">
        <f ca="1">I46-I44</f>
        <v>655.98717206895526</v>
      </c>
    </row>
    <row r="46" spans="2:9" ht="12" x14ac:dyDescent="0.15">
      <c r="B46" s="24" t="s">
        <v>69</v>
      </c>
      <c r="C46" s="124">
        <f>C44+C45</f>
        <v>45960</v>
      </c>
      <c r="D46" s="87">
        <f ca="1">E46/C46</f>
        <v>1.0666458082422043</v>
      </c>
      <c r="E46" s="87">
        <f ca="1">E44+E45</f>
        <v>49023.041346811711</v>
      </c>
      <c r="F46" s="24" t="s">
        <v>69</v>
      </c>
      <c r="G46" s="123">
        <f>C46</f>
        <v>45960</v>
      </c>
      <c r="H46" s="86">
        <f t="shared" ref="H46:I46" ca="1" si="3">D46</f>
        <v>1.0666458082422043</v>
      </c>
      <c r="I46" s="86">
        <f t="shared" ca="1" si="3"/>
        <v>49023.041346811711</v>
      </c>
    </row>
    <row r="47" spans="2:9" ht="12" thickBot="1" x14ac:dyDescent="0.2"/>
    <row r="48" spans="2:9" ht="12" thickBot="1" x14ac:dyDescent="0.2">
      <c r="B48" s="184" t="s">
        <v>101</v>
      </c>
      <c r="C48" s="184"/>
      <c r="D48" s="184"/>
      <c r="E48" s="184"/>
      <c r="F48" s="89">
        <f ca="1">I19 +I44</f>
        <v>62425.39746206213</v>
      </c>
    </row>
  </sheetData>
  <mergeCells count="9">
    <mergeCell ref="B48:E48"/>
    <mergeCell ref="B2:E2"/>
    <mergeCell ref="B16:I16"/>
    <mergeCell ref="B17:E17"/>
    <mergeCell ref="F17:I17"/>
    <mergeCell ref="B41:I41"/>
    <mergeCell ref="B24:E24"/>
    <mergeCell ref="B42:E42"/>
    <mergeCell ref="F42:I42"/>
  </mergeCells>
  <phoneticPr fontId="6" type="noConversion"/>
  <pageMargins left="0.7" right="0.7" top="0.75" bottom="0.75" header="0.3" footer="0.3"/>
  <pageSetup paperSize="9" orientation="landscape" r:id="rId1"/>
  <ignoredErrors>
    <ignoredError sqref="D21 D46 H45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B1:F17"/>
  <sheetViews>
    <sheetView zoomScale="143" zoomScaleNormal="200" workbookViewId="0">
      <selection activeCell="C9" sqref="C9"/>
    </sheetView>
  </sheetViews>
  <sheetFormatPr baseColWidth="10" defaultColWidth="10.83203125" defaultRowHeight="15" x14ac:dyDescent="0.2"/>
  <cols>
    <col min="2" max="2" width="17.5" customWidth="1"/>
  </cols>
  <sheetData>
    <row r="1" spans="2:6" ht="19" x14ac:dyDescent="0.25">
      <c r="F1" s="42" t="s">
        <v>123</v>
      </c>
    </row>
    <row r="2" spans="2:6" x14ac:dyDescent="0.2">
      <c r="B2" s="21" t="s">
        <v>88</v>
      </c>
      <c r="C2" s="21" t="str">
        <f>'Donnees a saisir'!C2</f>
        <v>Mai</v>
      </c>
    </row>
    <row r="4" spans="2:6" x14ac:dyDescent="0.2">
      <c r="B4" s="189" t="s">
        <v>122</v>
      </c>
      <c r="C4" s="185"/>
      <c r="D4" s="185"/>
      <c r="E4" s="185"/>
    </row>
    <row r="5" spans="2:6" x14ac:dyDescent="0.2">
      <c r="B5" s="22"/>
      <c r="C5" s="22" t="s">
        <v>67</v>
      </c>
      <c r="D5" s="2" t="s">
        <v>119</v>
      </c>
      <c r="E5" s="22" t="s">
        <v>68</v>
      </c>
    </row>
    <row r="6" spans="2:6" ht="15" customHeight="1" x14ac:dyDescent="0.2">
      <c r="B6" s="79" t="s">
        <v>162</v>
      </c>
      <c r="C6" s="119">
        <f>'Couts de prod et stocks PF'!G19</f>
        <v>6570</v>
      </c>
      <c r="D6" s="82">
        <f ca="1">'Couts de prod et stocks PF'!H19</f>
        <v>2.1397782781308021</v>
      </c>
      <c r="E6" s="82">
        <f ca="1">'Couts de prod et stocks PF'!I19</f>
        <v>14058.343287319371</v>
      </c>
    </row>
    <row r="7" spans="2:6" ht="25" x14ac:dyDescent="0.2">
      <c r="B7" s="2" t="s">
        <v>163</v>
      </c>
      <c r="C7" s="120">
        <f>'Donnees a saisir'!C70</f>
        <v>6570</v>
      </c>
      <c r="D7" s="83">
        <f ca="1">'Tableau de repartition'!N13</f>
        <v>7.8243282288355961E-2</v>
      </c>
      <c r="E7" s="84">
        <f ca="1">C7*D7</f>
        <v>514.05836463449862</v>
      </c>
    </row>
    <row r="8" spans="2:6" ht="25" x14ac:dyDescent="0.2">
      <c r="B8" s="2" t="s">
        <v>164</v>
      </c>
      <c r="C8" s="83">
        <f ca="1">'Couts de prod et stocks PF'!I19</f>
        <v>14058.343287319371</v>
      </c>
      <c r="D8" s="83">
        <f ca="1">'Tableau de repartition'!O13</f>
        <v>7.6651494336227408E-2</v>
      </c>
      <c r="E8" s="84">
        <f ca="1">C8*D8</f>
        <v>1077.5930208647014</v>
      </c>
    </row>
    <row r="9" spans="2:6" x14ac:dyDescent="0.2">
      <c r="B9" s="24" t="s">
        <v>69</v>
      </c>
      <c r="C9" s="118">
        <f>'Couts de revient PV'!C6</f>
        <v>6570</v>
      </c>
      <c r="D9" s="80">
        <f ca="1">E9/C9</f>
        <v>2.3820387629860837</v>
      </c>
      <c r="E9" s="80">
        <f ca="1">SUM(E6:E8)</f>
        <v>15649.994672818571</v>
      </c>
    </row>
    <row r="12" spans="2:6" x14ac:dyDescent="0.2">
      <c r="B12" s="187" t="s">
        <v>121</v>
      </c>
      <c r="C12" s="188"/>
      <c r="D12" s="188"/>
      <c r="E12" s="188"/>
    </row>
    <row r="13" spans="2:6" x14ac:dyDescent="0.2">
      <c r="B13" s="22"/>
      <c r="C13" s="22" t="s">
        <v>67</v>
      </c>
      <c r="D13" s="2" t="s">
        <v>119</v>
      </c>
      <c r="E13" s="22" t="s">
        <v>68</v>
      </c>
    </row>
    <row r="14" spans="2:6" x14ac:dyDescent="0.2">
      <c r="B14" s="79" t="s">
        <v>162</v>
      </c>
      <c r="C14" s="116">
        <f>'Couts de prod et stocks PF'!G44</f>
        <v>45345</v>
      </c>
      <c r="D14" s="81">
        <f ca="1">'Couts de prod et stocks PF'!H44</f>
        <v>1.0666458082422043</v>
      </c>
      <c r="E14" s="81">
        <f ca="1">'Couts de prod et stocks PF'!I44</f>
        <v>48367.054174742756</v>
      </c>
    </row>
    <row r="15" spans="2:6" ht="25" x14ac:dyDescent="0.2">
      <c r="B15" s="2" t="s">
        <v>163</v>
      </c>
      <c r="C15" s="117">
        <f>'Donnees a saisir'!C73</f>
        <v>45345</v>
      </c>
      <c r="D15" s="83">
        <f ca="1">'Tableau de repartition'!N13</f>
        <v>7.8243282288355961E-2</v>
      </c>
      <c r="E15" s="84">
        <f ca="1">C15*D15</f>
        <v>3547.941635365501</v>
      </c>
    </row>
    <row r="16" spans="2:6" ht="25" x14ac:dyDescent="0.2">
      <c r="B16" s="2" t="s">
        <v>164</v>
      </c>
      <c r="C16" s="83">
        <f ca="1">'Couts de prod et stocks PF'!I44</f>
        <v>48367.054174742756</v>
      </c>
      <c r="D16" s="83">
        <f ca="1">'Tableau de repartition'!O13</f>
        <v>7.6651494336227408E-2</v>
      </c>
      <c r="E16" s="84">
        <f ca="1">C16*D16</f>
        <v>3707.4069791352986</v>
      </c>
    </row>
    <row r="17" spans="2:5" x14ac:dyDescent="0.2">
      <c r="B17" s="24" t="s">
        <v>69</v>
      </c>
      <c r="C17" s="116">
        <f>'Donnees a saisir'!C73</f>
        <v>45345</v>
      </c>
      <c r="D17" s="80">
        <f ca="1">E17/C17</f>
        <v>1.2266490856597982</v>
      </c>
      <c r="E17" s="80">
        <f ca="1">SUM(E14:E16)</f>
        <v>55622.402789243555</v>
      </c>
    </row>
  </sheetData>
  <mergeCells count="2">
    <mergeCell ref="B12:E12"/>
    <mergeCell ref="B4:E4"/>
  </mergeCells>
  <phoneticPr fontId="6" type="noConversion"/>
  <pageMargins left="0.7" right="0.7" top="0.75" bottom="0.75" header="0.3" footer="0.3"/>
  <pageSetup paperSize="9" orientation="portrait" r:id="rId1"/>
  <ignoredErrors>
    <ignoredError sqref="C16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B1:G15"/>
  <sheetViews>
    <sheetView tabSelected="1" zoomScale="200" zoomScaleNormal="188" workbookViewId="0">
      <selection activeCell="G4" sqref="G4"/>
    </sheetView>
  </sheetViews>
  <sheetFormatPr baseColWidth="10" defaultColWidth="10.83203125" defaultRowHeight="15" x14ac:dyDescent="0.2"/>
  <sheetData>
    <row r="1" spans="2:7" ht="21" x14ac:dyDescent="0.25">
      <c r="G1" s="43" t="s">
        <v>124</v>
      </c>
    </row>
    <row r="2" spans="2:7" x14ac:dyDescent="0.2">
      <c r="B2" s="21" t="s">
        <v>88</v>
      </c>
      <c r="C2" s="21" t="str">
        <f>'Donnees a saisir'!C2</f>
        <v>Mai</v>
      </c>
    </row>
    <row r="5" spans="2:7" x14ac:dyDescent="0.2">
      <c r="B5" s="190" t="s">
        <v>89</v>
      </c>
      <c r="C5" s="190"/>
      <c r="D5" s="190"/>
      <c r="E5" s="190"/>
    </row>
    <row r="6" spans="2:7" x14ac:dyDescent="0.2">
      <c r="B6" s="22"/>
      <c r="C6" s="22" t="s">
        <v>76</v>
      </c>
      <c r="D6" s="2" t="s">
        <v>120</v>
      </c>
      <c r="E6" s="22" t="s">
        <v>77</v>
      </c>
    </row>
    <row r="7" spans="2:7" x14ac:dyDescent="0.2">
      <c r="B7" s="22" t="s">
        <v>90</v>
      </c>
      <c r="C7" s="118">
        <f>'Donnees a saisir'!C70</f>
        <v>6570</v>
      </c>
      <c r="D7" s="81">
        <f>'Donnees a saisir'!E70</f>
        <v>2.4500000000000002</v>
      </c>
      <c r="E7" s="80">
        <f>C7*D7</f>
        <v>16096.500000000002</v>
      </c>
    </row>
    <row r="8" spans="2:7" x14ac:dyDescent="0.2">
      <c r="B8" s="22" t="s">
        <v>91</v>
      </c>
      <c r="C8" s="118">
        <f>'Couts de revient PV'!C9</f>
        <v>6570</v>
      </c>
      <c r="D8" s="81">
        <f ca="1">'Couts de revient PV'!D9</f>
        <v>2.3820387629860837</v>
      </c>
      <c r="E8" s="81">
        <f ca="1">'Couts de revient PV'!E9</f>
        <v>15649.994672818571</v>
      </c>
    </row>
    <row r="9" spans="2:7" x14ac:dyDescent="0.2">
      <c r="B9" s="24" t="s">
        <v>92</v>
      </c>
      <c r="C9" s="118">
        <f>'Donnees a saisir'!C70</f>
        <v>6570</v>
      </c>
      <c r="D9" s="80">
        <f ca="1">D7-D8</f>
        <v>6.7961237013916431E-2</v>
      </c>
      <c r="E9" s="80">
        <f ca="1">E7-E8</f>
        <v>446.5053271814304</v>
      </c>
    </row>
    <row r="11" spans="2:7" x14ac:dyDescent="0.2">
      <c r="B11" s="191" t="s">
        <v>93</v>
      </c>
      <c r="C11" s="191"/>
      <c r="D11" s="191"/>
      <c r="E11" s="191"/>
    </row>
    <row r="12" spans="2:7" x14ac:dyDescent="0.2">
      <c r="B12" s="22"/>
      <c r="C12" s="22" t="s">
        <v>76</v>
      </c>
      <c r="D12" s="2" t="s">
        <v>120</v>
      </c>
      <c r="E12" s="22" t="s">
        <v>77</v>
      </c>
    </row>
    <row r="13" spans="2:7" x14ac:dyDescent="0.2">
      <c r="B13" s="22" t="s">
        <v>90</v>
      </c>
      <c r="C13" s="116">
        <f>'Donnees a saisir'!C73</f>
        <v>45345</v>
      </c>
      <c r="D13" s="81">
        <f>'Donnees a saisir'!E73</f>
        <v>1.35</v>
      </c>
      <c r="E13" s="80">
        <f>C13*D13</f>
        <v>61215.750000000007</v>
      </c>
    </row>
    <row r="14" spans="2:7" x14ac:dyDescent="0.2">
      <c r="B14" s="22" t="s">
        <v>91</v>
      </c>
      <c r="C14" s="116">
        <f>'Couts de revient PV'!C17</f>
        <v>45345</v>
      </c>
      <c r="D14" s="81">
        <f ca="1">'Couts de revient PV'!D17</f>
        <v>1.2266490856597982</v>
      </c>
      <c r="E14" s="81">
        <f ca="1">'Couts de revient PV'!E17</f>
        <v>55622.402789243555</v>
      </c>
    </row>
    <row r="15" spans="2:7" x14ac:dyDescent="0.2">
      <c r="B15" s="24" t="s">
        <v>92</v>
      </c>
      <c r="C15" s="116">
        <f>'Donnees a saisir'!C73</f>
        <v>45345</v>
      </c>
      <c r="D15" s="80">
        <f ca="1">D13-D14</f>
        <v>0.12335091434020184</v>
      </c>
      <c r="E15" s="80">
        <f ca="1">E13-E14</f>
        <v>5593.3472107564521</v>
      </c>
    </row>
  </sheetData>
  <mergeCells count="2">
    <mergeCell ref="B5:E5"/>
    <mergeCell ref="B11:E11"/>
  </mergeCells>
  <phoneticPr fontId="6" type="noConversion"/>
  <pageMargins left="0.7" right="0.7" top="0.75" bottom="0.75" header="0.3" footer="0.3"/>
  <pageSetup paperSize="9" orientation="portrait" r:id="rId1"/>
  <ignoredErrors>
    <ignoredError sqref="C8 C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recopie">
                <anchor moveWithCells="1" sizeWithCells="1">
                  <from>
                    <xdr:col>5</xdr:col>
                    <xdr:colOff>825500</xdr:colOff>
                    <xdr:row>4</xdr:row>
                    <xdr:rowOff>0</xdr:rowOff>
                  </from>
                  <to>
                    <xdr:col>7</xdr:col>
                    <xdr:colOff>698500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Donnees a saisir</vt:lpstr>
      <vt:lpstr>Tableau de repartition</vt:lpstr>
      <vt:lpstr>Couts d'achat et stocks MP</vt:lpstr>
      <vt:lpstr>Couts de prod PI</vt:lpstr>
      <vt:lpstr>Couts de prod et stocks PF</vt:lpstr>
      <vt:lpstr>Couts de revient PV</vt:lpstr>
      <vt:lpstr>Resultats analytiques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Microsoft Office User</cp:lastModifiedBy>
  <cp:lastPrinted>2008-04-08T07:13:21Z</cp:lastPrinted>
  <dcterms:created xsi:type="dcterms:W3CDTF">2008-04-06T15:24:09Z</dcterms:created>
  <dcterms:modified xsi:type="dcterms:W3CDTF">2021-05-26T07:07:12Z</dcterms:modified>
</cp:coreProperties>
</file>